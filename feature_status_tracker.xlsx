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9a3b57230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5d5bda9ee31f4c07"/>
    <x:sheet xmlns:r="http://schemas.openxmlformats.org/officeDocument/2006/relationships" name="Dashboard" sheetId="2" r:id="Raa55143ca0a64c37"/>
    <x:sheet xmlns:r="http://schemas.openxmlformats.org/officeDocument/2006/relationships" name="Lists" sheetId="3" r:id="Re5030d816068444b"/>
    <x:sheet xmlns:r="http://schemas.openxmlformats.org/officeDocument/2006/relationships" name="Instructions" sheetId="4" r:id="R159c910b7794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2343B"/>
      <x:name val="Carlito"/>
    </x:font>
    <x:font>
      <x:b/>
      <x:sz val="16"/>
      <x:color rgb="FF12343B"/>
      <x:name val="Carlito"/>
    </x:font>
  </x:fonts>
  <x:fills count="2">
    <x:fill>
      <x:patternFill patternType="none"/>
    </x:fill>
    <x:fill>
      <x:patternFill patternType="gray125"/>
    </x:fill>
  </x:fills>
  <x:borders count="14">
    <x:border/>
    <x:border/>
    <x:border>
      <x:left style="thin">
        <x:color rgb="FFBFD6DB"/>
      </x:left>
      <x:right style="thin">
        <x:color rgb="FFBFD6DB"/>
      </x:right>
      <x:top style="thin">
        <x:color rgb="FFBFD6DB"/>
      </x:top>
      <x:bottom style="thin">
        <x:color rgb="FFBFD6DB"/>
      </x:bottom>
    </x:border>
    <x:border>
      <x:left style="thin">
        <x:color rgb="FFBFD6DB"/>
      </x:left>
      <x:right style="thin">
        <x:color rgb="FFBFD6DB"/>
      </x:right>
      <x:top style="thin">
        <x:color rgb="FFBFD6DB"/>
      </x:top>
      <x:bottom style="thin">
        <x:color rgb="FFBFD6DB"/>
      </x:bottom>
    </x:border>
    <x:border>
      <x:left style="thin">
        <x:color rgb="FFE8EFF2"/>
      </x:left>
      <x:right style="thin">
        <x:color rgb="FFE8EFF2"/>
      </x:right>
      <x:top style="thin">
        <x:color rgb="FFE8EFF2"/>
      </x:top>
      <x:bottom style="thin">
        <x:color rgb="FFE8EFF2"/>
      </x:bottom>
    </x:border>
    <x:border>
      <x:left style="thin">
        <x:color rgb="FFE8EFF2"/>
      </x:left>
      <x:right style="thin">
        <x:color rgb="FFE8EFF2"/>
      </x:right>
      <x:top style="thin">
        <x:color rgb="FFE8EFF2"/>
      </x:top>
      <x:bottom style="thin">
        <x:color rgb="FFE8EFF2"/>
      </x:bottom>
    </x:border>
    <x:border>
      <x:left style="medium">
        <x:color rgb="FF0B5D66"/>
      </x:left>
      <x:right style="medium">
        <x:color rgb="FF0B5D66"/>
      </x:right>
      <x:top style="medium">
        <x:color rgb="FF0B5D66"/>
      </x:top>
      <x:bottom style="medium">
        <x:color rgb="FF0B5D66"/>
      </x:bottom>
    </x:border>
    <x:border>
      <x:left style="medium">
        <x:color rgb="FF0B5D66"/>
      </x:left>
      <x:right style="medium">
        <x:color rgb="FF0B5D66"/>
      </x:right>
      <x:top style="medium">
        <x:color rgb="FF0B5D66"/>
      </x:top>
      <x:bottom style="medium">
        <x:color rgb="FF0B5D66"/>
      </x:bottom>
    </x:border>
    <x:border>
      <x:left style="thin">
        <x:color rgb="FFC9D8DE"/>
      </x:left>
      <x:right style="thin">
        <x:color rgb="FFC9D8DE"/>
      </x:right>
      <x:top style="thin">
        <x:color rgb="FFC9D8DE"/>
      </x:top>
      <x:bottom style="thin">
        <x:color rgb="FFC9D8DE"/>
      </x:bottom>
    </x:border>
    <x:border>
      <x:left style="thin">
        <x:color rgb="FFC9D8DE"/>
      </x:left>
      <x:right style="thin">
        <x:color rgb="FFC9D8DE"/>
      </x:right>
      <x:top style="thin">
        <x:color rgb="FFC9D8DE"/>
      </x:top>
      <x:bottom style="thin">
        <x:color rgb="FFC9D8DE"/>
      </x:bottom>
    </x:border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7E2E6"/>
      </x:left>
      <x:right style="thin">
        <x:color rgb="FFD7E2E6"/>
      </x:right>
      <x:top style="thin">
        <x:color rgb="FFD7E2E6"/>
      </x:top>
      <x:bottom style="thin">
        <x:color rgb="FFD7E2E6"/>
      </x:bottom>
    </x:border>
    <x:border>
      <x:left style="thin">
        <x:color rgb="FFD7E2E6"/>
      </x:left>
      <x:right style="thin">
        <x:color rgb="FFD7E2E6"/>
      </x:right>
      <x:top style="thin">
        <x:color rgb="FFD7E2E6"/>
      </x:top>
      <x:bottom style="thin">
        <x:color rgb="FFD7E2E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1" borderId="8" xfId="0" applyNumberFormat="1" applyFont="1" applyFill="0" applyBorder="1" applyAlignment="1">
      <x:alignment wrapText="1"/>
    </x:xf>
    <x:xf numFmtId="0" fontId="0" fillId="0" borderId="8" xfId="0" applyNumberFormat="1" applyFont="1" applyFill="1" applyBorder="1"/>
    <x:xf numFmtId="0" fontId="1" borderId="9" xfId="0" applyNumberFormat="1" applyFont="1" applyFill="0" applyBorder="1" applyAlignment="1">
      <x:alignment wrapText="1"/>
    </x:xf>
    <x:xf numFmtId="0" fontId="0" fillId="0" borderId="9" xfId="0" applyNumberFormat="1" applyFont="1" applyFill="1" applyBorder="1"/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1" borderId="12" xfId="0" applyNumberFormat="1" applyFont="1" applyFill="0" applyBorder="1" applyAlignment="1">
      <x:alignment wrapText="1"/>
    </x:xf>
    <x:xf numFmtId="0" fontId="0" fillId="0" borderId="12" xfId="0" applyNumberFormat="1" applyFont="1" applyFill="1" applyBorder="1"/>
    <x:xf numFmtId="0" fontId="1" borderId="13" xfId="0" applyNumberFormat="1" applyFont="1" applyFill="0" applyBorder="1" applyAlignment="1">
      <x:alignment wrapText="1"/>
    </x:xf>
    <x:xf numFmtId="0" fontId="0" fillId="0" borderId="13" xfId="0" applyNumberFormat="1" applyFont="1" applyFill="1" applyBorder="1"/>
    <x:xf numFmtId="0" fontId="1" borderId="10" xfId="0" applyNumberFormat="1" applyFont="1" applyFill="0" applyBorder="1" applyAlignment="1">
      <x:alignment wrapText="1"/>
    </x:xf>
    <x:xf numFmtId="0" fontId="0" fillId="0" borderId="10" xfId="0" applyNumberFormat="1" applyFont="1" applyFill="1" applyBorder="1"/>
    <x:xf numFmtId="0" fontId="1" borderId="11" xfId="0" applyNumberFormat="1" applyFont="1" applyFill="0" applyBorder="1" applyAlignment="1">
      <x:alignment wrapText="1"/>
    </x:xf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4132225ab4ff8" /><Relationship Type="http://schemas.openxmlformats.org/officeDocument/2006/relationships/theme" Target="/xl/theme/theme1.xml" Id="R392448a57f3e42de" /><Relationship Type="http://schemas.openxmlformats.org/officeDocument/2006/relationships/sharedStrings" Target="/xl/sharedStrings.xml" Id="Rc52f5b43d9f24d88" /><Relationship Type="http://schemas.openxmlformats.org/officeDocument/2006/relationships/worksheet" Target="/xl/worksheets/sheet1.xml" Id="R5d5bda9ee31f4c07" /><Relationship Type="http://schemas.openxmlformats.org/officeDocument/2006/relationships/worksheet" Target="/xl/worksheets/sheet2.xml" Id="Raa55143ca0a64c37" /><Relationship Type="http://schemas.openxmlformats.org/officeDocument/2006/relationships/worksheet" Target="/xl/worksheets/sheet3.xml" Id="Re5030d816068444b" /><Relationship Type="http://schemas.openxmlformats.org/officeDocument/2006/relationships/worksheet" Target="/xl/worksheets/sheet4.xml" Id="R159c910b7794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8" hidden="0" customWidth="1"/>
    <x:col min="5" max="5" width="30" hidden="0" customWidth="1"/>
    <x:col min="6" max="6" width="16" hidden="0" customWidth="1"/>
    <x:col min="7" max="7" width="38" hidden="0" customWidth="1"/>
    <x:col min="8" max="8" width="38" hidden="0" customWidth="1"/>
    <x:col min="9" max="9" width="38" hidden="0" customWidth="1"/>
    <x:col min="10" max="10" width="18" hidden="0" customWidth="1"/>
    <x:col min="11" max="11" width="16" hidden="0" customWidth="1"/>
    <x:col min="12" max="12" width="32" hidden="0" customWidth="1"/>
    <x:col min="13" max="13" width="24" hidden="0" customWidth="1"/>
    <x:col min="14" max="14" width="28" hidden="0" customWidth="1"/>
    <x:col min="15" max="15" width="14" hidden="0" customWidth="1"/>
    <x:col min="16" max="16" width="16" hidden="0" customWidth="1"/>
    <x:col min="17" max="17" width="18" hidden="0" customWidth="1"/>
    <x:col min="18" max="18" width="24" hidden="0" customWidth="1"/>
    <x:col min="19" max="19" width="14" hidden="0" customWidth="1"/>
    <x:col min="20" max="20" width="28" hidden="0" customWidth="1"/>
    <x:col min="21" max="21" width="20" hidden="0" customWidth="1"/>
    <x:col min="22" max="22" width="18" hidden="0" customWidth="1"/>
    <x:col min="23" max="23" width="20" hidden="0" customWidth="1"/>
    <x:col min="24" max="24" width="24" hidden="0" customWidth="1"/>
    <x:col min="25" max="25" width="28" hidden="0" customWidth="1"/>
  </x:cols>
  <x:sheetData>
    <x:row r="1" ht="22" customHeight="1">
      <x:c r="A1" s="8" t="str">
        <x:v>Feature ID</x:v>
      </x:c>
      <x:c r="B1" s="8" t="str">
        <x:v>Feature Name</x:v>
      </x:c>
      <x:c r="C1" s="8" t="str">
        <x:v>Area / Module</x:v>
      </x:c>
      <x:c r="D1" s="8" t="str">
        <x:v>Source File(s)</x:v>
      </x:c>
      <x:c r="E1" s="8" t="str">
        <x:v>Route / Screen / Command / Entry Point</x:v>
      </x:c>
      <x:c r="F1" s="8" t="str">
        <x:v>User Type</x:v>
      </x:c>
      <x:c r="G1" s="8" t="str">
        <x:v>User Story</x:v>
      </x:c>
      <x:c r="H1" s="8" t="str">
        <x:v>Expected Behaviour</x:v>
      </x:c>
      <x:c r="I1" s="8" t="str">
        <x:v>Actual Behaviour</x:v>
      </x:c>
      <x:c r="J1" s="8" t="str">
        <x:v>Status</x:v>
      </x:c>
      <x:c r="K1" s="8" t="str">
        <x:v>Test Type</x:v>
      </x:c>
      <x:c r="L1" s="8" t="str">
        <x:v>Test Steps</x:v>
      </x:c>
      <x:c r="M1" s="8" t="str">
        <x:v>Test Result</x:v>
      </x:c>
      <x:c r="N1" s="8" t="str">
        <x:v>Error / Bug Found</x:v>
      </x:c>
      <x:c r="O1" s="8" t="str">
        <x:v>Severity</x:v>
      </x:c>
      <x:c r="P1" s="8" t="str">
        <x:v>Fix Required</x:v>
      </x:c>
      <x:c r="Q1" s="8" t="str">
        <x:v>Fix Implemented</x:v>
      </x:c>
      <x:c r="R1" s="8" t="str">
        <x:v>Files Changed</x:v>
      </x:c>
      <x:c r="S1" s="8" t="str">
        <x:v>Commit Hash</x:v>
      </x:c>
      <x:c r="T1" s="8" t="str">
        <x:v>Retest Steps</x:v>
      </x:c>
      <x:c r="U1" s="8" t="str">
        <x:v>Retest Result</x:v>
      </x:c>
      <x:c r="V1" s="8" t="str">
        <x:v>Final Status</x:v>
      </x:c>
      <x:c r="W1" s="8" t="str">
        <x:v>Product Decision Needed</x:v>
      </x:c>
      <x:c r="X1" s="8" t="str">
        <x:v>Notes</x:v>
      </x:c>
      <x:c r="Y1" s="8" t="str">
        <x:v>Original Prompt</x:v>
      </x:c>
    </x:row>
    <x:row r="2" ht="22" customHeight="1">
      <x:c r="A2" s="14" t="str">
        <x:v>WEB-001</x:v>
      </x:c>
      <x:c r="B2" s="14" t="str">
        <x:v>Desktop primary navigation</x:v>
      </x:c>
      <x:c r="C2" s="14" t="str">
        <x:v>Landing / Navigation</x:v>
      </x:c>
      <x:c r="D2" s="14" t="str">
        <x:v>index.html; tests/landing-page.mjs</x:v>
      </x:c>
      <x:c r="E2" s="14" t="str">
        <x:v>/</x:v>
      </x:c>
      <x:c r="F2" s="14" t="str">
        <x:v>First-time visitor</x:v>
      </x:c>
      <x:c r="G2" s="14" t="str">
        <x:v>As a first-time visitor, I want a concise navigation bar so that I can reach the product, Apple proof, trust information, MCP documentation, and research quickly.</x:v>
      </x:c>
      <x:c r="H2" s="14" t="str">
        <x:v>Five destinations plus one Run Apple action are visible, correctly labeled, keyboard reachable, and link to valid targets.</x:v>
      </x:c>
      <x:c r="I2" s="14" t="str">
        <x:v>Observed behavior matched the tracker-backed expectation in the discovery test pass.</x:v>
      </x:c>
      <x:c r="J2" s="14" t="str">
        <x:v>Verified</x:v>
      </x:c>
      <x:c r="K2" s="14" t="str">
        <x:v>Automated UI</x:v>
      </x:c>
      <x:c r="L2" s="14" t="str">
        <x:v>Open / at 1440x1000; count navigation actions; tab through links; verify href targets and focus visibility.</x:v>
      </x:c>
      <x:c r="M2" s="14" t="str">
        <x:v>PASS — qa_evidence/logs/feature_ui_audit.json; qa_evidence/lighthouse/landing-desktop/report.json</x:v>
      </x:c>
      <x:c r="N2" s="14" t="str"/>
      <x:c r="O2" s="14" t="str"/>
      <x:c r="P2" s="14" t="str">
        <x:v>No</x:v>
      </x:c>
      <x:c r="Q2" s="14" t="str"/>
      <x:c r="R2" s="14" t="str"/>
      <x:c r="S2" s="14" t="str"/>
      <x:c r="T2" s="14" t="str"/>
      <x:c r="U2" s="14" t="str">
        <x:v>Not required in discovery pass.</x:v>
      </x:c>
      <x:c r="V2" s="14" t="str">
        <x:v>Verified</x:v>
      </x:c>
      <x:c r="W2" s="14" t="str">
        <x:v>No</x:v>
      </x:c>
      <x:c r="X2" s="14" t="str">
        <x:v>Discovery evidence: qa_evidence/logs/feature_ui_audit.json; qa_evidence/lighthouse/landing-desktop/report.json</x:v>
      </x:c>
      <x:c r="Y2" s="14" t="str">
        <x:v>/goal implement the cutting edge UI rich with graphics and easy to understand</x:v>
      </x:c>
    </x:row>
    <x:row r="3" ht="22" customHeight="1">
      <x:c r="A3" s="14" t="str">
        <x:v>WEB-002</x:v>
      </x:c>
      <x:c r="B3" s="14" t="str">
        <x:v>Mobile navigation menu</x:v>
      </x:c>
      <x:c r="C3" s="14" t="str">
        <x:v>Landing / Navigation</x:v>
      </x:c>
      <x:c r="D3" s="14" t="str">
        <x:v>index.html; tests/landing-page.mjs</x:v>
      </x:c>
      <x:c r="E3" s="14" t="str">
        <x:v>/ at 390x844</x:v>
      </x:c>
      <x:c r="F3" s="14" t="str">
        <x:v>Mobile visitor</x:v>
      </x:c>
      <x:c r="G3" s="14" t="str">
        <x:v>As a mobile visitor, I want a compact menu so that I can reach every primary destination without horizontal overflow.</x:v>
      </x:c>
      <x:c r="H3" s="14" t="str">
        <x:v>Menu opens and closes, exposes all primary links, updates aria-expanded, and causes no horizontal overflow.</x:v>
      </x:c>
      <x:c r="I3" s="14" t="str">
        <x:v>Accessible name now includes the visible “Menu” label.</x:v>
      </x:c>
      <x:c r="J3" s="14" t="str">
        <x:v>Fixed</x:v>
      </x:c>
      <x:c r="K3" s="14" t="str">
        <x:v>Automated UI</x:v>
      </x:c>
      <x:c r="L3" s="14" t="str">
        <x:v>Open / at 390x844; activate Menu; inspect class and aria-expanded; verify links; measure document overflow.</x:v>
      </x:c>
      <x:c r="M3" s="14" t="str">
        <x:v>FAIL — qa_evidence/lighthouse/landing-mobile/report.json | FIX VERIFIED</x:v>
      </x:c>
      <x:c r="N3" s="14" t="str">
        <x:v>Mobile menu displays “Menu” but its aria-label is “Toggle navigation”; Lighthouse flags label-content-name-mismatch.</x:v>
      </x:c>
      <x:c r="O3" s="14" t="str">
        <x:v>Medium</x:v>
      </x:c>
      <x:c r="P3" s="14" t="str">
        <x:v>Yes</x:v>
      </x:c>
      <x:c r="Q3" s="14" t="str">
        <x:v>Accessible name now includes the visible “Menu” label.</x:v>
      </x:c>
      <x:c r="R3" s="14" t="str">
        <x:v>index.html</x:v>
      </x:c>
      <x:c r="S3" s="14" t="str">
        <x:v>4883949</x:v>
      </x:c>
      <x:c r="T3" s="14" t="str">
        <x:v>Open / at 390x844; activate Menu; inspect class and aria-expanded; verify links; measure document overflow.</x:v>
      </x:c>
      <x:c r="U3" s="14" t="str">
        <x:v>PASS — Lighthouse mobile: accessibility 100, 55 passed, 0 failed.</x:v>
      </x:c>
      <x:c r="V3" s="14" t="str">
        <x:v>Verified</x:v>
      </x:c>
      <x:c r="W3" s="14" t="str">
        <x:v>No</x:v>
      </x:c>
      <x:c r="X3" s="14" t="str">
        <x:v>Pre-fix discovery evidence: qa_evidence/lighthouse/landing-mobile/report.json | Retest evidence: qa_evidence/lighthouse/retest-landing-mobile/report.json | Stable pre-fix finding: qa_evidence/logs/discovery_findings.json</x:v>
      </x:c>
      <x:c r="Y3" s="14" t="str">
        <x:v>/goal implement the cutting edge UI rich with graphics and easy to understand</x:v>
      </x:c>
    </x:row>
    <x:row r="4" ht="22" customHeight="1">
      <x:c r="A4" s="14" t="str">
        <x:v>WEB-003</x:v>
      </x:c>
      <x:c r="B4" s="14" t="str">
        <x:v>Apple-first hero comprehension</x:v>
      </x:c>
      <x:c r="C4" s="14" t="str">
        <x:v>Landing / Hero</x:v>
      </x:c>
      <x:c r="D4" s="14" t="str">
        <x:v>index.html; tests/landing-page.mjs</x:v>
      </x:c>
      <x:c r="E4" s="14" t="str">
        <x:v>/#top</x:v>
      </x:c>
      <x:c r="F4" s="14" t="str">
        <x:v>Research prospect</x:v>
      </x:c>
      <x:c r="G4" s="14" t="str">
        <x:v>As a research prospect, I want to understand DeltaSignal within ten seconds so that I know what it does and why Apple is shown.</x:v>
      </x:c>
      <x:c r="H4" s="14" t="str">
        <x:v>Hero identifies DeltaSignal as evidence infrastructure, Apple as a public reference case, controlled read-only evidence flow, concrete output, and non-advice boundary.</x:v>
      </x:c>
      <x:c r="I4" s="14" t="str">
        <x:v>Observed behavior matched the tracker-backed expectation in the discovery test pass.</x:v>
      </x:c>
      <x:c r="J4" s="14" t="str">
        <x:v>Verified</x:v>
      </x:c>
      <x:c r="K4" s="14" t="str">
        <x:v>Automated UI</x:v>
      </x:c>
      <x:c r="L4" s="14" t="str">
        <x:v>Inspect first viewport at 1440x1000; assert required comprehension phrases; capture screenshot; run accessibility audit.</x:v>
      </x:c>
      <x:c r="M4" s="14" t="str">
        <x:v>PASS — qa_evidence/logs/feature_ui_audit.json; qa_evidence/lighthouse/landing-desktop/report.json</x:v>
      </x:c>
      <x:c r="N4" s="14" t="str"/>
      <x:c r="O4" s="14" t="str"/>
      <x:c r="P4" s="14" t="str">
        <x:v>No</x:v>
      </x:c>
      <x:c r="Q4" s="14" t="str"/>
      <x:c r="R4" s="14" t="str"/>
      <x:c r="S4" s="14" t="str"/>
      <x:c r="T4" s="14" t="str"/>
      <x:c r="U4" s="14" t="str">
        <x:v>Not required in discovery pass.</x:v>
      </x:c>
      <x:c r="V4" s="14" t="str">
        <x:v>Verified</x:v>
      </x:c>
      <x:c r="W4" s="14" t="str">
        <x:v>No</x:v>
      </x:c>
      <x:c r="X4" s="14" t="str">
        <x:v>Discovery evidence: qa_evidence/logs/feature_ui_audit.json; qa_evidence/lighthouse/landing-desktop/report.json</x:v>
      </x:c>
      <x:c r="Y4" s="14" t="str">
        <x:v>/goal implement the cutting edge UI rich with graphics and easy to understand</x:v>
      </x:c>
    </x:row>
    <x:row r="5" ht="22" customHeight="1">
      <x:c r="A5" s="14" t="str">
        <x:v>WEB-004</x:v>
      </x:c>
      <x:c r="B5" s="14" t="str">
        <x:v>Hero primary actions</x:v>
      </x:c>
      <x:c r="C5" s="14" t="str">
        <x:v>Landing / Hero</x:v>
      </x:c>
      <x:c r="D5" s="14" t="str">
        <x:v>index.html; tests/landing-page.mjs</x:v>
      </x:c>
      <x:c r="E5" s="14" t="str">
        <x:v>/#top</x:v>
      </x:c>
      <x:c r="F5" s="14" t="str">
        <x:v>Research prospect</x:v>
      </x:c>
      <x:c r="G5" s="14" t="str">
        <x:v>As a prospect, I want two clear next steps so that I can run a sample AAPL report or understand how evidence reaches agents.</x:v>
      </x:c>
      <x:c r="H5" s="14" t="str">
        <x:v>Exactly two hero actions are present, visually prominent, descriptive, and point to the AAPL demo and MCP surface.</x:v>
      </x:c>
      <x:c r="I5" s="14" t="str">
        <x:v>Observed behavior matched the tracker-backed expectation in the discovery test pass.</x:v>
      </x:c>
      <x:c r="J5" s="14" t="str">
        <x:v>Verified</x:v>
      </x:c>
      <x:c r="K5" s="14" t="str">
        <x:v>Automated UI</x:v>
      </x:c>
      <x:c r="L5" s="14" t="str">
        <x:v>Count hero links; inspect accessible names and hrefs; activate local AAPL link and confirm destination loads.</x:v>
      </x:c>
      <x:c r="M5" s="14" t="str">
        <x:v>PASS — qa_evidence/logs/feature_ui_audit.json; qa_evidence/lighthouse/landing-desktop/report.json</x:v>
      </x:c>
      <x:c r="N5" s="14" t="str"/>
      <x:c r="O5" s="14" t="str"/>
      <x:c r="P5" s="14" t="str">
        <x:v>No</x:v>
      </x:c>
      <x:c r="Q5" s="14" t="str"/>
      <x:c r="R5" s="14" t="str"/>
      <x:c r="S5" s="14" t="str"/>
      <x:c r="T5" s="14" t="str"/>
      <x:c r="U5" s="14" t="str">
        <x:v>Not required in discovery pass.</x:v>
      </x:c>
      <x:c r="V5" s="14" t="str">
        <x:v>Verified</x:v>
      </x:c>
      <x:c r="W5" s="14" t="str">
        <x:v>No</x:v>
      </x:c>
      <x:c r="X5" s="14" t="str">
        <x:v>Discovery evidence: qa_evidence/logs/feature_ui_audit.json; qa_evidence/lighthouse/landing-desktop/report.json</x:v>
      </x:c>
      <x:c r="Y5" s="14" t="str">
        <x:v>/goal implement the cutting edge UI rich with graphics and easy to understand</x:v>
      </x:c>
    </x:row>
    <x:row r="6" ht="22" customHeight="1">
      <x:c r="A6" s="14" t="str">
        <x:v>WEB-005</x:v>
      </x:c>
      <x:c r="B6" s="14" t="str">
        <x:v>Evidence run preview card</x:v>
      </x:c>
      <x:c r="C6" s="14" t="str">
        <x:v>Landing / Hero</x:v>
      </x:c>
      <x:c r="D6" s="14" t="str">
        <x:v>index.html; tests/landing-page.mjs</x:v>
      </x:c>
      <x:c r="E6" s="14" t="str">
        <x:v>/#top</x:v>
      </x:c>
      <x:c r="F6" s="14" t="str">
        <x:v>Financial analyst</x:v>
      </x:c>
      <x:c r="G6" s="14" t="str">
        <x:v>As an analyst, I want a compact preview of the evidence run so that I understand the source-to-packet path before clicking.</x:v>
      </x:c>
      <x:c r="H6" s="14" t="str">
        <x:v>Card shows source, governance, controlled gateway, agents, inspectable packet, status, provenance, missingness, and non-advice language with legible text.</x:v>
      </x:c>
      <x:c r="I6" s="14" t="str">
        <x:v>Observed behavior matched the tracker-backed expectation in the discovery test pass.</x:v>
      </x:c>
      <x:c r="J6" s="14" t="str">
        <x:v>Verified</x:v>
      </x:c>
      <x:c r="K6" s="14" t="str">
        <x:v>Manual UI</x:v>
      </x:c>
      <x:c r="L6" s="14" t="str">
        <x:v>Inspect hero card at desktop and mobile; verify all stages and semantic colors; check text contrast and clipping.</x:v>
      </x:c>
      <x:c r="M6" s="14" t="str">
        <x:v>PASS — qa_evidence/logs/feature_ui_audit.json; qa_evidence/lighthouse/landing-desktop/report.json</x:v>
      </x:c>
      <x:c r="N6" s="14" t="str"/>
      <x:c r="O6" s="14" t="str"/>
      <x:c r="P6" s="14" t="str">
        <x:v>No</x:v>
      </x:c>
      <x:c r="Q6" s="14" t="str"/>
      <x:c r="R6" s="14" t="str"/>
      <x:c r="S6" s="14" t="str"/>
      <x:c r="T6" s="14" t="str"/>
      <x:c r="U6" s="14" t="str">
        <x:v>Not required in discovery pass.</x:v>
      </x:c>
      <x:c r="V6" s="14" t="str">
        <x:v>Verified</x:v>
      </x:c>
      <x:c r="W6" s="14" t="str">
        <x:v>No</x:v>
      </x:c>
      <x:c r="X6" s="14" t="str">
        <x:v>Discovery evidence: qa_evidence/logs/feature_ui_audit.json; qa_evidence/lighthouse/landing-desktop/report.json</x:v>
      </x:c>
      <x:c r="Y6" s="14" t="str">
        <x:v>/goal implement the cutting edge UI rich with graphics and easy to understand</x:v>
      </x:c>
    </x:row>
    <x:row r="7" ht="22" customHeight="1">
      <x:c r="A7" s="14" t="str">
        <x:v>WEB-006</x:v>
      </x:c>
      <x:c r="B7" s="14" t="str">
        <x:v>Operational proof strip</x:v>
      </x:c>
      <x:c r="C7" s="14" t="str">
        <x:v>Landing / Trust strip</x:v>
      </x:c>
      <x:c r="D7" s="14" t="str">
        <x:v>index.html; tests/landing-page.mjs</x:v>
      </x:c>
      <x:c r="E7" s="14" t="str">
        <x:v>/ below hero</x:v>
      </x:c>
      <x:c r="F7" s="14" t="str">
        <x:v>Compliance buyer</x:v>
      </x:c>
      <x:c r="G7" s="14" t="str">
        <x:v>As a compliance buyer, I want immediate operating boundaries so that I can distinguish reference evidence, access mode, and non-advice status.</x:v>
      </x:c>
      <x:c r="H7" s="14" t="str">
        <x:v>Reference case date, filing-backed state, read-only MCP mode, and non-advice boundary are visible with distinct semantic rails.</x:v>
      </x:c>
      <x:c r="I7" s="14" t="str">
        <x:v>Observed behavior matched the tracker-backed expectation in the discovery test pass.</x:v>
      </x:c>
      <x:c r="J7" s="14" t="str">
        <x:v>Verified</x:v>
      </x:c>
      <x:c r="K7" s="14" t="str">
        <x:v>Automated UI</x:v>
      </x:c>
      <x:c r="L7" s="14" t="str">
        <x:v>Assert four proof-strip cells and required labels; verify semantic state attributes and mobile stacking.</x:v>
      </x:c>
      <x:c r="M7" s="14" t="str">
        <x:v>PASS — qa_evidence/logs/feature_ui_audit.json; qa_evidence/lighthouse/landing-desktop/report.json</x:v>
      </x:c>
      <x:c r="N7" s="14" t="str"/>
      <x:c r="O7" s="14" t="str"/>
      <x:c r="P7" s="14" t="str">
        <x:v>No</x:v>
      </x:c>
      <x:c r="Q7" s="14" t="str"/>
      <x:c r="R7" s="14" t="str"/>
      <x:c r="S7" s="14" t="str"/>
      <x:c r="T7" s="14" t="str"/>
      <x:c r="U7" s="14" t="str">
        <x:v>Not required in discovery pass.</x:v>
      </x:c>
      <x:c r="V7" s="14" t="str">
        <x:v>Verified</x:v>
      </x:c>
      <x:c r="W7" s="14" t="str">
        <x:v>No</x:v>
      </x:c>
      <x:c r="X7" s="14" t="str">
        <x:v>Discovery evidence: qa_evidence/logs/feature_ui_audit.json; qa_evidence/lighthouse/landing-desktop/report.json</x:v>
      </x:c>
      <x:c r="Y7" s="14" t="str">
        <x:v>/goal implement the cutting edge UI rich with graphics and easy to understand</x:v>
      </x:c>
    </x:row>
    <x:row r="8" ht="22" customHeight="1">
      <x:c r="A8" s="14" t="str">
        <x:v>WEB-007</x:v>
      </x:c>
      <x:c r="B8" s="14" t="str">
        <x:v>Simplified architecture overview</x:v>
      </x:c>
      <x:c r="C8" s="14" t="str">
        <x:v>Landing / Architecture</x:v>
      </x:c>
      <x:c r="D8" s="14" t="str">
        <x:v>index.html; tests/landing-page.mjs</x:v>
      </x:c>
      <x:c r="E8" s="14" t="str">
        <x:v>/#agent-architecture</x:v>
      </x:c>
      <x:c r="F8" s="14" t="str">
        <x:v>Nontechnical buyer</x:v>
      </x:c>
      <x:c r="G8" s="14" t="str">
        <x:v>As a nontechnical buyer, I want a simple architecture overview so that I can understand input, governance, controlled delivery, review, and output.</x:v>
      </x:c>
      <x:c r="H8" s="14" t="str">
        <x:v>Five large, legible modules use explicit INPUT → GOVERN → CONTROLLED DELIVERY → REVIEW → OUTPUT labels, arrows, graphics, and plain language.</x:v>
      </x:c>
      <x:c r="I8" s="14" t="str">
        <x:v>Observed behavior matched the tracker-backed expectation in the discovery test pass.</x:v>
      </x:c>
      <x:c r="J8" s="14" t="str">
        <x:v>Verified</x:v>
      </x:c>
      <x:c r="K8" s="14" t="str">
        <x:v>Automated UI</x:v>
      </x:c>
      <x:c r="L8" s="14" t="str">
        <x:v>Scroll to architecture; count five modules; assert labels and explanations; measure typography; capture desktop/mobile screenshots.</x:v>
      </x:c>
      <x:c r="M8" s="14" t="str">
        <x:v>PASS — qa_evidence/logs/feature_ui_audit.json; qa_evidence/lighthouse/landing-desktop/report.json</x:v>
      </x:c>
      <x:c r="N8" s="14" t="str"/>
      <x:c r="O8" s="14" t="str"/>
      <x:c r="P8" s="14" t="str">
        <x:v>No</x:v>
      </x:c>
      <x:c r="Q8" s="14" t="str"/>
      <x:c r="R8" s="14" t="str"/>
      <x:c r="S8" s="14" t="str"/>
      <x:c r="T8" s="14" t="str"/>
      <x:c r="U8" s="14" t="str">
        <x:v>Not required in discovery pass.</x:v>
      </x:c>
      <x:c r="V8" s="14" t="str">
        <x:v>Verified</x:v>
      </x:c>
      <x:c r="W8" s="14" t="str">
        <x:v>No</x:v>
      </x:c>
      <x:c r="X8" s="14" t="str">
        <x:v>Discovery evidence: qa_evidence/logs/feature_ui_audit.json; qa_evidence/lighthouse/landing-desktop/report.json</x:v>
      </x:c>
      <x:c r="Y8" s="14" t="str">
        <x:v>/goal implement the cutting edge UI rich with graphics and easy to understand</x:v>
      </x:c>
    </x:row>
    <x:row r="9" ht="22" customHeight="1">
      <x:c r="A9" s="14" t="str">
        <x:v>WEB-008</x:v>
      </x:c>
      <x:c r="B9" s="14" t="str">
        <x:v>Full architecture disclosure</x:v>
      </x:c>
      <x:c r="C9" s="14" t="str">
        <x:v>Landing / Architecture</x:v>
      </x:c>
      <x:c r="D9" s="14" t="str">
        <x:v>index.html; tests/landing-page.mjs</x:v>
      </x:c>
      <x:c r="E9" s="14" t="str">
        <x:v>/#agent-architecture</x:v>
      </x:c>
      <x:c r="F9" s="14" t="str">
        <x:v>Technical evaluator</x:v>
      </x:c>
      <x:c r="G9" s="14" t="str">
        <x:v>As a technical evaluator, I want to expand the specialist architecture so that I can inspect coordinator, agents, review, Gemini synthesis, and output roles.</x:v>
      </x:c>
      <x:c r="H9" s="14" t="str">
        <x:v>Detail is collapsed by default, opens from an accessible control, contains four explicitly labeled AI specialists, differentiates runtime/model/agents, and can close again.</x:v>
      </x:c>
      <x:c r="I9" s="14" t="str">
        <x:v>Observed behavior matched the tracker-backed expectation in the discovery test pass.</x:v>
      </x:c>
      <x:c r="J9" s="14" t="str">
        <x:v>Verified</x:v>
      </x:c>
      <x:c r="K9" s="14" t="str">
        <x:v>Automated UI</x:v>
      </x:c>
      <x:c r="L9" s="14" t="str">
        <x:v>Verify initial collapsed state; activate toggle twice; inspect aria-expanded, specialist count, role labels, glyphs, and full-graph visibility.</x:v>
      </x:c>
      <x:c r="M9" s="14" t="str">
        <x:v>PASS — qa_evidence/logs/feature_ui_audit.json; qa_evidence/lighthouse/landing-desktop/report.json</x:v>
      </x:c>
      <x:c r="N9" s="14" t="str"/>
      <x:c r="O9" s="14" t="str"/>
      <x:c r="P9" s="14" t="str">
        <x:v>No</x:v>
      </x:c>
      <x:c r="Q9" s="14" t="str"/>
      <x:c r="R9" s="14" t="str"/>
      <x:c r="S9" s="14" t="str"/>
      <x:c r="T9" s="14" t="str"/>
      <x:c r="U9" s="14" t="str">
        <x:v>Not required in discovery pass.</x:v>
      </x:c>
      <x:c r="V9" s="14" t="str">
        <x:v>Verified</x:v>
      </x:c>
      <x:c r="W9" s="14" t="str">
        <x:v>No</x:v>
      </x:c>
      <x:c r="X9" s="14" t="str">
        <x:v>Discovery evidence: qa_evidence/logs/feature_ui_audit.json; qa_evidence/lighthouse/landing-desktop/report.json</x:v>
      </x:c>
      <x:c r="Y9" s="14" t="str">
        <x:v>/goal implement the cutting edge UI rich with graphics and easy to understand</x:v>
      </x:c>
    </x:row>
    <x:row r="10" ht="22" customHeight="1">
      <x:c r="A10" s="14" t="str">
        <x:v>WEB-009</x:v>
      </x:c>
      <x:c r="B10" s="14" t="str">
        <x:v>Platform capability tabs</x:v>
      </x:c>
      <x:c r="C10" s="14" t="str">
        <x:v>Landing / Product</x:v>
      </x:c>
      <x:c r="D10" s="14" t="str">
        <x:v>index.html; tests/landing-page.mjs</x:v>
      </x:c>
      <x:c r="E10" s="14" t="str">
        <x:v>/#platform</x:v>
      </x:c>
      <x:c r="F10" s="14" t="str">
        <x:v>Agent builder</x:v>
      </x:c>
      <x:c r="G10" s="14" t="str">
        <x:v>As an agent builder, I want to compare evidence, ATLAS-7, MCP, and Google-agent capabilities so that I can understand the modular product.</x:v>
      </x:c>
      <x:c r="H10" s="14" t="str">
        <x:v>Four keyboard-operable tabs switch one clear capability panel and retain understandable bullets and semantic colors.</x:v>
      </x:c>
      <x:c r="I10" s="14" t="str">
        <x:v>Observed behavior matched the tracker-backed expectation in the discovery test pass.</x:v>
      </x:c>
      <x:c r="J10" s="14" t="str">
        <x:v>Verified</x:v>
      </x:c>
      <x:c r="K10" s="14" t="str">
        <x:v>Automated UI</x:v>
      </x:c>
      <x:c r="L10" s="14" t="str">
        <x:v>Count tabs; click each; assert title/body changes and aria-selected; test keyboard focus; inspect mobile layout.</x:v>
      </x:c>
      <x:c r="M10" s="14" t="str">
        <x:v>PASS — qa_evidence/logs/feature_ui_audit.json; qa_evidence/lighthouse/landing-desktop/report.json</x:v>
      </x:c>
      <x:c r="N10" s="14" t="str"/>
      <x:c r="O10" s="14" t="str"/>
      <x:c r="P10" s="14" t="str">
        <x:v>No</x:v>
      </x:c>
      <x:c r="Q10" s="14" t="str"/>
      <x:c r="R10" s="14" t="str"/>
      <x:c r="S10" s="14" t="str"/>
      <x:c r="T10" s="14" t="str"/>
      <x:c r="U10" s="14" t="str">
        <x:v>Not required in discovery pass.</x:v>
      </x:c>
      <x:c r="V10" s="14" t="str">
        <x:v>Verified</x:v>
      </x:c>
      <x:c r="W10" s="14" t="str">
        <x:v>No</x:v>
      </x:c>
      <x:c r="X10" s="14" t="str">
        <x:v>Discovery evidence: qa_evidence/logs/feature_ui_audit.json; qa_evidence/lighthouse/landing-desktop/report.json</x:v>
      </x:c>
      <x:c r="Y10" s="14" t="str">
        <x:v>/goal implement the cutting edge UI rich with graphics and easy to understand</x:v>
      </x:c>
    </x:row>
    <x:row r="11" ht="22" customHeight="1">
      <x:c r="A11" s="14" t="str">
        <x:v>WEB-010</x:v>
      </x:c>
      <x:c r="B11" s="14" t="str">
        <x:v>Apple interactive-demo promotion</x:v>
      </x:c>
      <x:c r="C11" s="14" t="str">
        <x:v>Landing / Apple proof</x:v>
      </x:c>
      <x:c r="D11" s="14" t="str">
        <x:v>index.html; tests/landing-page.mjs</x:v>
      </x:c>
      <x:c r="E11" s="14" t="str">
        <x:v>/#demo</x:v>
      </x:c>
      <x:c r="F11" s="14" t="str">
        <x:v>Prospective client</x:v>
      </x:c>
      <x:c r="G11" s="14" t="str">
        <x:v>As a prospective client, I want a visual Apple demo preview so that I can choose interactive, presentation, or recording-plan modes.</x:v>
      </x:c>
      <x:c r="H11" s="14" t="str">
        <x:v>Preview graphic is not cropped, explanatory copy is clear, and all three actions link to valid assets.</x:v>
      </x:c>
      <x:c r="I11" s="14" t="str">
        <x:v>Observed behavior matched the tracker-backed expectation in the discovery test pass.</x:v>
      </x:c>
      <x:c r="J11" s="14" t="str">
        <x:v>Verified</x:v>
      </x:c>
      <x:c r="K11" s="14" t="str">
        <x:v>Automated UI</x:v>
      </x:c>
      <x:c r="L11" s="14" t="str">
        <x:v>Inspect demo image dimensions and overflow; verify three actions and targets; load interactive and presentation destinations.</x:v>
      </x:c>
      <x:c r="M11" s="14" t="str">
        <x:v>PASS — qa_evidence/logs/feature_ui_audit.json; qa_evidence/lighthouse/landing-desktop/report.json</x:v>
      </x:c>
      <x:c r="N11" s="14" t="str"/>
      <x:c r="O11" s="14" t="str"/>
      <x:c r="P11" s="14" t="str">
        <x:v>No</x:v>
      </x:c>
      <x:c r="Q11" s="14" t="str"/>
      <x:c r="R11" s="14" t="str"/>
      <x:c r="S11" s="14" t="str"/>
      <x:c r="T11" s="14" t="str"/>
      <x:c r="U11" s="14" t="str">
        <x:v>Not required in discovery pass.</x:v>
      </x:c>
      <x:c r="V11" s="14" t="str">
        <x:v>Verified</x:v>
      </x:c>
      <x:c r="W11" s="14" t="str">
        <x:v>No</x:v>
      </x:c>
      <x:c r="X11" s="14" t="str">
        <x:v>Discovery evidence: qa_evidence/logs/feature_ui_audit.json; qa_evidence/lighthouse/landing-desktop/report.json</x:v>
      </x:c>
      <x:c r="Y11" s="14" t="str">
        <x:v>/goal implement the cutting edge UI rich with graphics and easy to understand</x:v>
      </x:c>
    </x:row>
    <x:row r="12" ht="22" customHeight="1">
      <x:c r="A12" s="14" t="str">
        <x:v>WEB-011</x:v>
      </x:c>
      <x:c r="B12" s="14" t="str">
        <x:v>Governed workflow sequence</x:v>
      </x:c>
      <x:c r="C12" s="14" t="str">
        <x:v>Landing / Workflow</x:v>
      </x:c>
      <x:c r="D12" s="14" t="str">
        <x:v>index.html; tests/landing-page.mjs</x:v>
      </x:c>
      <x:c r="E12" s="14" t="str">
        <x:v>/#workflow</x:v>
      </x:c>
      <x:c r="F12" s="14" t="str">
        <x:v>Financial researcher</x:v>
      </x:c>
      <x:c r="G12" s="14" t="str">
        <x:v>As a financial researcher, I want to see the governed sequence so that I understand how source data becomes a reviewed packet.</x:v>
      </x:c>
      <x:c r="H12" s="14" t="str">
        <x:v>Six sequential cards show Source, Govern, Route, Delegate, Review, Deliver with plain-language notes and readable responsive layout.</x:v>
      </x:c>
      <x:c r="I12" s="14" t="str">
        <x:v>Observed behavior matched the tracker-backed expectation in the discovery test pass.</x:v>
      </x:c>
      <x:c r="J12" s="14" t="str">
        <x:v>Verified</x:v>
      </x:c>
      <x:c r="K12" s="14" t="str">
        <x:v>Automated UI</x:v>
      </x:c>
      <x:c r="L12" s="14" t="str">
        <x:v>Count six steps; verify order and explanations; inspect desktop and mobile layout for clipping and sequence clarity.</x:v>
      </x:c>
      <x:c r="M12" s="14" t="str">
        <x:v>PASS — qa_evidence/logs/feature_ui_audit.json; qa_evidence/lighthouse/landing-desktop/report.json</x:v>
      </x:c>
      <x:c r="N12" s="14" t="str"/>
      <x:c r="O12" s="14" t="str"/>
      <x:c r="P12" s="14" t="str">
        <x:v>No</x:v>
      </x:c>
      <x:c r="Q12" s="14" t="str"/>
      <x:c r="R12" s="14" t="str"/>
      <x:c r="S12" s="14" t="str"/>
      <x:c r="T12" s="14" t="str"/>
      <x:c r="U12" s="14" t="str">
        <x:v>Not required in discovery pass.</x:v>
      </x:c>
      <x:c r="V12" s="14" t="str">
        <x:v>Verified</x:v>
      </x:c>
      <x:c r="W12" s="14" t="str">
        <x:v>No</x:v>
      </x:c>
      <x:c r="X12" s="14" t="str">
        <x:v>Discovery evidence: qa_evidence/logs/feature_ui_audit.json; qa_evidence/lighthouse/landing-desktop/report.json</x:v>
      </x:c>
      <x:c r="Y12" s="14" t="str">
        <x:v>/goal implement the cutting edge UI rich with graphics and easy to understand</x:v>
      </x:c>
    </x:row>
    <x:row r="13" ht="22" customHeight="1">
      <x:c r="A13" s="14" t="str">
        <x:v>WEB-012</x:v>
      </x:c>
      <x:c r="B13" s="14" t="str">
        <x:v>Audience path cards</x:v>
      </x:c>
      <x:c r="C13" s="14" t="str">
        <x:v>Landing / Conversion</x:v>
      </x:c>
      <x:c r="D13" s="14" t="str">
        <x:v>index.html; tests/landing-page.mjs</x:v>
      </x:c>
      <x:c r="E13" s="14" t="str">
        <x:v>/#competition-proof</x:v>
      </x:c>
      <x:c r="F13" s="14" t="str">
        <x:v>Visitor with distinct intent</x:v>
      </x:c>
      <x:c r="G13" s="14" t="str">
        <x:v>As a visitor, I want a path matching my intent so that I can use, build, read, or partner without searching.</x:v>
      </x:c>
      <x:c r="H13" s="14" t="str">
        <x:v>Four path cards clearly separate use, build, read, and partner actions with valid destinations and consistent visual hierarchy.</x:v>
      </x:c>
      <x:c r="I13" s="14" t="str">
        <x:v>Observed behavior matched the tracker-backed expectation in the discovery test pass.</x:v>
      </x:c>
      <x:c r="J13" s="14" t="str">
        <x:v>Verified</x:v>
      </x:c>
      <x:c r="K13" s="14" t="str">
        <x:v>Automated UI</x:v>
      </x:c>
      <x:c r="L13" s="14" t="str">
        <x:v>Count four cards; assert labels/actions/hrefs; inspect hover/focus; verify mobile stacking.</x:v>
      </x:c>
      <x:c r="M13" s="14" t="str">
        <x:v>PASS — qa_evidence/logs/feature_ui_audit.json; qa_evidence/lighthouse/landing-desktop/report.json</x:v>
      </x:c>
      <x:c r="N13" s="14" t="str"/>
      <x:c r="O13" s="14" t="str"/>
      <x:c r="P13" s="14" t="str">
        <x:v>No</x:v>
      </x:c>
      <x:c r="Q13" s="14" t="str"/>
      <x:c r="R13" s="14" t="str"/>
      <x:c r="S13" s="14" t="str"/>
      <x:c r="T13" s="14" t="str"/>
      <x:c r="U13" s="14" t="str">
        <x:v>Not required in discovery pass.</x:v>
      </x:c>
      <x:c r="V13" s="14" t="str">
        <x:v>Verified</x:v>
      </x:c>
      <x:c r="W13" s="14" t="str">
        <x:v>No</x:v>
      </x:c>
      <x:c r="X13" s="14" t="str">
        <x:v>Discovery evidence: qa_evidence/logs/feature_ui_audit.json; qa_evidence/lighthouse/landing-desktop/report.json</x:v>
      </x:c>
      <x:c r="Y13" s="14" t="str">
        <x:v>/goal implement the cutting edge UI rich with graphics and easy to understand</x:v>
      </x:c>
    </x:row>
    <x:row r="14" ht="22" customHeight="1">
      <x:c r="A14" s="14" t="str">
        <x:v>WEB-013</x:v>
      </x:c>
      <x:c r="B14" s="14" t="str">
        <x:v>Trust methodology cards</x:v>
      </x:c>
      <x:c r="C14" s="14" t="str">
        <x:v>Landing / Trust</x:v>
      </x:c>
      <x:c r="D14" s="14" t="str">
        <x:v>index.html; tests/landing-page.mjs</x:v>
      </x:c>
      <x:c r="E14" s="14" t="str">
        <x:v>/#trust</x:v>
      </x:c>
      <x:c r="F14" s="14" t="str">
        <x:v>Compliance buyer</x:v>
      </x:c>
      <x:c r="G14" s="14" t="str">
        <x:v>As a compliance buyer, I want methodology boundaries so that I can judge filing provenance, point-in-time safety, missingness, and agent readiness.</x:v>
      </x:c>
      <x:c r="H14" s="14" t="str">
        <x:v>Four trust cards explain boundaries and link to architecture, MCP surface, and agent contract.</x:v>
      </x:c>
      <x:c r="I14" s="14" t="str">
        <x:v>Observed behavior matched the tracker-backed expectation in the discovery test pass.</x:v>
      </x:c>
      <x:c r="J14" s="14" t="str">
        <x:v>Verified</x:v>
      </x:c>
      <x:c r="K14" s="14" t="str">
        <x:v>Automated UI</x:v>
      </x:c>
      <x:c r="L14" s="14" t="str">
        <x:v>Count cards; assert required concepts and three resource links; validate link responses where network permits.</x:v>
      </x:c>
      <x:c r="M14" s="14" t="str">
        <x:v>PASS — qa_evidence/logs/feature_ui_audit.json; qa_evidence/lighthouse/landing-desktop/report.json</x:v>
      </x:c>
      <x:c r="N14" s="14" t="str"/>
      <x:c r="O14" s="14" t="str"/>
      <x:c r="P14" s="14" t="str">
        <x:v>No</x:v>
      </x:c>
      <x:c r="Q14" s="14" t="str"/>
      <x:c r="R14" s="14" t="str"/>
      <x:c r="S14" s="14" t="str"/>
      <x:c r="T14" s="14" t="str"/>
      <x:c r="U14" s="14" t="str">
        <x:v>Not required in discovery pass.</x:v>
      </x:c>
      <x:c r="V14" s="14" t="str">
        <x:v>Verified</x:v>
      </x:c>
      <x:c r="W14" s="14" t="str">
        <x:v>No</x:v>
      </x:c>
      <x:c r="X14" s="14" t="str">
        <x:v>Discovery evidence: qa_evidence/logs/feature_ui_audit.json; qa_evidence/lighthouse/landing-desktop/report.json</x:v>
      </x:c>
      <x:c r="Y14" s="14" t="str">
        <x:v>/goal implement the cutting edge UI rich with graphics and easy to understand</x:v>
      </x:c>
    </x:row>
    <x:row r="15" ht="22" customHeight="1">
      <x:c r="A15" s="14" t="str">
        <x:v>WEB-014</x:v>
      </x:c>
      <x:c r="B15" s="14" t="str">
        <x:v>Final conversion actions</x:v>
      </x:c>
      <x:c r="C15" s="14" t="str">
        <x:v>Landing / CTA</x:v>
      </x:c>
      <x:c r="D15" s="14" t="str">
        <x:v>index.html; tests/landing-page.mjs</x:v>
      </x:c>
      <x:c r="E15" s="14" t="str">
        <x:v>/ final CTA</x:v>
      </x:c>
      <x:c r="F15" s="14" t="str">
        <x:v>Prospective client</x:v>
      </x:c>
      <x:c r="G15" s="14" t="str">
        <x:v>As a prospective client, I want clear final actions so that I can run the reference, tour the product, discuss a project, inspect Cloud Run, or inspect source.</x:v>
      </x:c>
      <x:c r="H15" s="14" t="str">
        <x:v>Actions are distinguishable, keyboard accessible, and point to correct destinations without misleading execution claims.</x:v>
      </x:c>
      <x:c r="I15" s="14" t="str">
        <x:v>Cloud Run now continues the Apple-first Evidence OS narrative and labels HUT as a second research-memory proof.</x:v>
      </x:c>
      <x:c r="J15" s="14" t="str">
        <x:v>Fixed</x:v>
      </x:c>
      <x:c r="K15" s="14" t="str">
        <x:v>Automated UI</x:v>
      </x:c>
      <x:c r="L15" s="14" t="str">
        <x:v>Enumerate CTA links and accessible names; validate local links; inspect visual priority and mobile wrapping.</x:v>
      </x:c>
      <x:c r="M15" s="14" t="str">
        <x:v>FAIL — qa_evidence/screenshots/cloud-root-1440x1000.png | FIX VERIFIED</x:v>
      </x:c>
      <x:c r="N15" s="14" t="str">
        <x:v>The final Cloud Run action opens a stale competition-branded, HUT-first surface instead of continuing the Apple-first Evidence OS narrative.</x:v>
      </x:c>
      <x:c r="O15" s="14" t="str">
        <x:v>High</x:v>
      </x:c>
      <x:c r="P15" s="14" t="str">
        <x:v>Yes</x:v>
      </x:c>
      <x:c r="Q15" s="14" t="str">
        <x:v>Cloud Run now continues the Apple-first Evidence OS narrative and labels HUT as a second research-memory proof.</x:v>
      </x:c>
      <x:c r="R15" s="14" t="str">
        <x:v>cmd/server/demo_ui.go; cmd/server/demo_ui_test.go</x:v>
      </x:c>
      <x:c r="S15" s="14" t="str">
        <x:v>4883949</x:v>
      </x:c>
      <x:c r="T15" s="14" t="str">
        <x:v>Enumerate CTA links and accessible names; validate local links; inspect visual priority and mobile wrapping.</x:v>
      </x:c>
      <x:c r="U15" s="14" t="str">
        <x:v>PASS — all final actions resolve into coherent, explicitly prioritized product surfaces.</x:v>
      </x:c>
      <x:c r="V15" s="14" t="str">
        <x:v>Verified</x:v>
      </x:c>
      <x:c r="W15" s="14" t="str">
        <x:v>No</x:v>
      </x:c>
      <x:c r="X15" s="14" t="str">
        <x:v>Pre-fix discovery evidence: qa_evidence/screenshots/cloud-root-1440x1000.png | Retest evidence: qa_evidence/screenshots/cloud-root-1440x1000.png; qa_evidence/logs/retest-go-test-all.log | Stable pre-fix finding: qa_evidence/logs/discovery_findings.json</x:v>
      </x:c>
      <x:c r="Y15" s="14" t="str">
        <x:v>/goal implement the cutting edge UI rich with graphics and easy to understand</x:v>
      </x:c>
    </x:row>
    <x:row r="16" ht="22" customHeight="1">
      <x:c r="A16" s="14" t="str">
        <x:v>WEB-015</x:v>
      </x:c>
      <x:c r="B16" s="14" t="str">
        <x:v>Footer provenance and resources</x:v>
      </x:c>
      <x:c r="C16" s="14" t="str">
        <x:v>Landing / Footer</x:v>
      </x:c>
      <x:c r="D16" s="14" t="str">
        <x:v>index.html; tests/landing-page.mjs</x:v>
      </x:c>
      <x:c r="E16" s="14" t="str">
        <x:v>/ footer</x:v>
      </x:c>
      <x:c r="F16" s="14" t="str">
        <x:v>Technical evaluator</x:v>
      </x:c>
      <x:c r="G16" s="14" t="str">
        <x:v>As a technical evaluator, I want durable resource links and the non-advice boundary so that I can inspect evidence and implementation details.</x:v>
      </x:c>
      <x:c r="H16" s="14" t="str">
        <x:v>Footer contains non-advice text plus comprehension audit, A2A spec, architecture, and GitHub links.</x:v>
      </x:c>
      <x:c r="I16" s="14" t="str">
        <x:v>Observed behavior matched the tracker-backed expectation in the discovery test pass.</x:v>
      </x:c>
      <x:c r="J16" s="14" t="str">
        <x:v>Verified</x:v>
      </x:c>
      <x:c r="K16" s="14" t="str">
        <x:v>Automated UI</x:v>
      </x:c>
      <x:c r="L16" s="14" t="str">
        <x:v>Inspect footer text and hrefs; load local resources; verify contrast and mobile wrapping.</x:v>
      </x:c>
      <x:c r="M16" s="14" t="str">
        <x:v>PASS — qa_evidence/logs/feature_ui_audit.json; qa_evidence/lighthouse/landing-desktop/report.json</x:v>
      </x:c>
      <x:c r="N16" s="14" t="str"/>
      <x:c r="O16" s="14" t="str"/>
      <x:c r="P16" s="14" t="str">
        <x:v>No</x:v>
      </x:c>
      <x:c r="Q16" s="14" t="str"/>
      <x:c r="R16" s="14" t="str"/>
      <x:c r="S16" s="14" t="str"/>
      <x:c r="T16" s="14" t="str"/>
      <x:c r="U16" s="14" t="str">
        <x:v>Not required in discovery pass.</x:v>
      </x:c>
      <x:c r="V16" s="14" t="str">
        <x:v>Verified</x:v>
      </x:c>
      <x:c r="W16" s="14" t="str">
        <x:v>No</x:v>
      </x:c>
      <x:c r="X16" s="14" t="str">
        <x:v>Discovery evidence: qa_evidence/logs/feature_ui_audit.json; qa_evidence/lighthouse/landing-desktop/report.json</x:v>
      </x:c>
      <x:c r="Y16" s="14" t="str">
        <x:v>/goal implement the cutting edge UI rich with graphics and easy to understand</x:v>
      </x:c>
    </x:row>
    <x:row r="17" ht="22" customHeight="1">
      <x:c r="A17" s="14" t="str">
        <x:v>WEB-016</x:v>
      </x:c>
      <x:c r="B17" s="14" t="str">
        <x:v>Responsive and accessible landing</x:v>
      </x:c>
      <x:c r="C17" s="14" t="str">
        <x:v>Landing / Cross-cutting</x:v>
      </x:c>
      <x:c r="D17" s="14" t="str">
        <x:v>index.html; tests/landing-page.mjs</x:v>
      </x:c>
      <x:c r="E17" s="14" t="str">
        <x:v>/ responsive states</x:v>
      </x:c>
      <x:c r="F17" s="14" t="str">
        <x:v>All visitors</x:v>
      </x:c>
      <x:c r="G17" s="14" t="str">
        <x:v>As a visitor using different devices or assistive settings, I want a readable and motion-safe interface so that I can use every feature.</x:v>
      </x:c>
      <x:c r="H17" s="14" t="str">
        <x:v>No horizontal overflow at 390px or 1440px, semantic landmarks and accessible names exist, contrast passes, and reduced motion disables nonessential animations.</x:v>
      </x:c>
      <x:c r="I17" s="14" t="str">
        <x:v>Observed behavior matched the tracker-backed expectation in the discovery test pass.</x:v>
      </x:c>
      <x:c r="J17" s="14" t="str">
        <x:v>Verified</x:v>
      </x:c>
      <x:c r="K17" s="14" t="str">
        <x:v>Automated UI</x:v>
      </x:c>
      <x:c r="L17" s="14" t="str">
        <x:v>Run Playwright desktop/mobile/reduced-motion checks and Lighthouse accessibility/best-practices audits; record scores and failures.</x:v>
      </x:c>
      <x:c r="M17" s="14" t="str">
        <x:v>PASS — qa_evidence/logs/feature_ui_audit.json; qa_evidence/lighthouse/landing-desktop/report.json</x:v>
      </x:c>
      <x:c r="N17" s="14" t="str"/>
      <x:c r="O17" s="14" t="str"/>
      <x:c r="P17" s="14" t="str">
        <x:v>No</x:v>
      </x:c>
      <x:c r="Q17" s="14" t="str"/>
      <x:c r="R17" s="14" t="str"/>
      <x:c r="S17" s="14" t="str"/>
      <x:c r="T17" s="14" t="str"/>
      <x:c r="U17" s="14" t="str">
        <x:v>Not required in discovery pass.</x:v>
      </x:c>
      <x:c r="V17" s="14" t="str">
        <x:v>Verified</x:v>
      </x:c>
      <x:c r="W17" s="14" t="str">
        <x:v>No</x:v>
      </x:c>
      <x:c r="X17" s="14" t="str">
        <x:v>Discovery evidence: qa_evidence/logs/feature_ui_audit.json; qa_evidence/lighthouse/landing-desktop/report.json</x:v>
      </x:c>
      <x:c r="Y17" s="14" t="str">
        <x:v>/goal implement the cutting edge UI rich with graphics and easy to understand</x:v>
      </x:c>
    </x:row>
    <x:row r="18" ht="22" customHeight="1">
      <x:c r="A18" s="14" t="str">
        <x:v>WEB-017</x:v>
      </x:c>
      <x:c r="B18" s="14" t="str">
        <x:v>Functional module color differentiation</x:v>
      </x:c>
      <x:c r="C18" s="14" t="str">
        <x:v>Landing / Visual system</x:v>
      </x:c>
      <x:c r="D18" s="14" t="str">
        <x:v>index.html; tests/landing-page.mjs</x:v>
      </x:c>
      <x:c r="E18" s="14" t="str">
        <x:v>/ content modules</x:v>
      </x:c>
      <x:c r="F18" s="14" t="str">
        <x:v>Visual learner</x:v>
      </x:c>
      <x:c r="G18" s="14" t="str">
        <x:v>As a visual learner, I want functional modules to have distinct backgrounds so that I can scan the system quickly.</x:v>
      </x:c>
      <x:c r="H18" s="14" t="str">
        <x:v>Architecture, platform, demo, workflow, audience, and trust areas have distinct restrained dark color fields while maintaining consistent semantic color and contrast.</x:v>
      </x:c>
      <x:c r="I18" s="14" t="str">
        <x:v>Observed behavior matched the tracker-backed expectation in the discovery test pass.</x:v>
      </x:c>
      <x:c r="J18" s="14" t="str">
        <x:v>Verified</x:v>
      </x:c>
      <x:c r="K18" s="14" t="str">
        <x:v>Manual UI</x:v>
      </x:c>
      <x:c r="L18" s="14" t="str">
        <x:v>Capture full-page desktop screenshot; compare section backgrounds and labels; run contrast audit; verify no visual ambiguity or excessive decoration.</x:v>
      </x:c>
      <x:c r="M18" s="14" t="str">
        <x:v>PASS — qa_evidence/logs/feature_ui_audit.json; qa_evidence/lighthouse/landing-desktop/report.json</x:v>
      </x:c>
      <x:c r="N18" s="14" t="str"/>
      <x:c r="O18" s="14" t="str"/>
      <x:c r="P18" s="14" t="str">
        <x:v>No</x:v>
      </x:c>
      <x:c r="Q18" s="14" t="str"/>
      <x:c r="R18" s="14" t="str"/>
      <x:c r="S18" s="14" t="str"/>
      <x:c r="T18" s="14" t="str"/>
      <x:c r="U18" s="14" t="str">
        <x:v>Not required in discovery pass.</x:v>
      </x:c>
      <x:c r="V18" s="14" t="str">
        <x:v>Verified</x:v>
      </x:c>
      <x:c r="W18" s="14" t="str">
        <x:v>No</x:v>
      </x:c>
      <x:c r="X18" s="14" t="str">
        <x:v>Discovery evidence: qa_evidence/logs/feature_ui_audit.json; qa_evidence/lighthouse/landing-desktop/report.json</x:v>
      </x:c>
      <x:c r="Y18" s="14" t="str">
        <x:v>/goal implement the cutting edge UI rich with graphics and easy to understand</x:v>
      </x:c>
    </x:row>
    <x:row r="19" ht="22" customHeight="1">
      <x:c r="A19" s="14" t="str">
        <x:v>TOUR-001</x:v>
      </x:c>
      <x:c r="B19" s="14" t="str">
        <x:v>Product tour activation</x:v>
      </x:c>
      <x:c r="C19" s="14" t="str">
        <x:v>Product tour</x:v>
      </x:c>
      <x:c r="D19" s="14" t="str">
        <x:v>index.html; tests/landing-page.mjs</x:v>
      </x:c>
      <x:c r="E19" s="14" t="str">
        <x:v>/?tour=1</x:v>
      </x:c>
      <x:c r="F19" s="14" t="str">
        <x:v>Prospective client</x:v>
      </x:c>
      <x:c r="G19" s="14" t="str">
        <x:v>As a prospective client, I want a focused product tour so that I can understand the product without scrolling the full site.</x:v>
      </x:c>
      <x:c r="H19" s="14" t="str">
        <x:v>Query activation opens a full-viewport presentation led by the Apple reference with no page overflow.</x:v>
      </x:c>
      <x:c r="I19" s="14" t="str">
        <x:v>Tour slide 4 now explicitly labels HUT as the second proof beyond the flagship Apple workflow.</x:v>
      </x:c>
      <x:c r="J19" s="14" t="str">
        <x:v>Fixed</x:v>
      </x:c>
      <x:c r="K19" s="14" t="str">
        <x:v>Automated UI</x:v>
      </x:c>
      <x:c r="L19" s="14" t="str">
        <x:v>Open /?tour=1 at 1920x1080; assert theater visible, Apple opening, one stage, no overflow.</x:v>
      </x:c>
      <x:c r="M19" s="14" t="str">
        <x:v>FAIL — qa_evidence/logs/feature_ui_audit.json | FIX VERIFIED</x:v>
      </x:c>
      <x:c r="N19" s="14" t="str">
        <x:v>Slide 4 switches from the Apple reference to HUT without an explicit ‘second proof’ transition, weakening the Apple-first story.</x:v>
      </x:c>
      <x:c r="O19" s="14" t="str">
        <x:v>Medium</x:v>
      </x:c>
      <x:c r="P19" s="14" t="str">
        <x:v>Yes</x:v>
      </x:c>
      <x:c r="Q19" s="14" t="str">
        <x:v>Tour slide 4 now explicitly labels HUT as the second proof beyond the flagship Apple workflow.</x:v>
      </x:c>
      <x:c r="R19" s="14" t="str">
        <x:v>index.html</x:v>
      </x:c>
      <x:c r="S19" s="14" t="str">
        <x:v>4883949</x:v>
      </x:c>
      <x:c r="T19" s="14" t="str">
        <x:v>Open /?tour=1 at 1920x1080; assert theater visible, Apple opening, one stage, no overflow.</x:v>
      </x:c>
      <x:c r="U19" s="14" t="str">
        <x:v>PASS — six-slide navigation preserves the Apple-first story and explains the issuer transition.</x:v>
      </x:c>
      <x:c r="V19" s="14" t="str">
        <x:v>Verified</x:v>
      </x:c>
      <x:c r="W19" s="14" t="str">
        <x:v>No</x:v>
      </x:c>
      <x:c r="X19" s="14" t="str">
        <x:v>Pre-fix discovery evidence: qa_evidence/logs/feature_ui_audit.json | Retest evidence: qa_evidence/logs/retest-feature_ui_audit.json | Stable pre-fix finding: qa_evidence/logs/discovery_findings.json</x:v>
      </x:c>
      <x:c r="Y19" s="14" t="str">
        <x:v>/goal implement the cutting edge UI rich with graphics and easy to understand</x:v>
      </x:c>
    </x:row>
    <x:row r="20" ht="22" customHeight="1">
      <x:c r="A20" s="14" t="str">
        <x:v>TOUR-002</x:v>
      </x:c>
      <x:c r="B20" s="14" t="str">
        <x:v>Tour previous and next navigation</x:v>
      </x:c>
      <x:c r="C20" s="14" t="str">
        <x:v>Product tour</x:v>
      </x:c>
      <x:c r="D20" s="14" t="str">
        <x:v>index.html; tests/landing-page.mjs</x:v>
      </x:c>
      <x:c r="E20" s="14" t="str">
        <x:v>/?tour=1</x:v>
      </x:c>
      <x:c r="F20" s="14" t="str">
        <x:v>Presentation viewer</x:v>
      </x:c>
      <x:c r="G20" s="14" t="str">
        <x:v>As a presentation viewer, I want previous and next controls and arrow-key support so that I can move through the story predictably.</x:v>
      </x:c>
      <x:c r="H20" s="14" t="str">
        <x:v>Controls and arrow keys move exactly one slide, disable at boundaries, and update title/index/progress.</x:v>
      </x:c>
      <x:c r="I20" s="14" t="str">
        <x:v>Observed behavior matched the tracker-backed expectation in the discovery test pass.</x:v>
      </x:c>
      <x:c r="J20" s="14" t="str">
        <x:v>Verified</x:v>
      </x:c>
      <x:c r="K20" s="14" t="str">
        <x:v>Automated UI</x:v>
      </x:c>
      <x:c r="L20" s="14" t="str">
        <x:v>Activate next/previous buttons and ArrowRight/ArrowLeft; verify slide text, disabled states, and progress.</x:v>
      </x:c>
      <x:c r="M20" s="14" t="str">
        <x:v>PASS — qa_evidence/logs/feature_ui_audit.json; qa_evidence/screenshots/tour-final-1920x1080.png</x:v>
      </x:c>
      <x:c r="N20" s="14" t="str"/>
      <x:c r="O20" s="14" t="str"/>
      <x:c r="P20" s="14" t="str">
        <x:v>No</x:v>
      </x:c>
      <x:c r="Q20" s="14" t="str"/>
      <x:c r="R20" s="14" t="str"/>
      <x:c r="S20" s="14" t="str"/>
      <x:c r="T20" s="14" t="str"/>
      <x:c r="U20" s="14" t="str">
        <x:v>Not required in discovery pass.</x:v>
      </x:c>
      <x:c r="V20" s="14" t="str">
        <x:v>Verified</x:v>
      </x:c>
      <x:c r="W20" s="14" t="str">
        <x:v>No</x:v>
      </x:c>
      <x:c r="X20" s="14" t="str">
        <x:v>Discovery evidence: qa_evidence/logs/feature_ui_audit.json; qa_evidence/screenshots/tour-final-1920x1080.png</x:v>
      </x:c>
      <x:c r="Y20" s="14" t="str">
        <x:v>/goal implement the cutting edge UI rich with graphics and easy to understand</x:v>
      </x:c>
    </x:row>
    <x:row r="21">
      <x:c r="A21" s="14" t="str">
        <x:v>TOUR-003</x:v>
      </x:c>
      <x:c r="B21" s="14" t="str">
        <x:v>Tour autoplay</x:v>
      </x:c>
      <x:c r="C21" s="14" t="str">
        <x:v>Product tour</x:v>
      </x:c>
      <x:c r="D21" s="14" t="str">
        <x:v>index.html</x:v>
      </x:c>
      <x:c r="E21" s="14" t="str">
        <x:v>/?tour=1</x:v>
      </x:c>
      <x:c r="F21" s="14" t="str">
        <x:v>Presenter</x:v>
      </x:c>
      <x:c r="G21" s="14" t="str">
        <x:v>As a presenter, I want autoplay so that I can record or demonstrate a paced narrative hands-free.</x:v>
      </x:c>
      <x:c r="H21" s="14" t="str">
        <x:v>Autoplay advances at a stable interval, toggles to pause, resets from final slide, and stops at the end.</x:v>
      </x:c>
      <x:c r="I21" s="14" t="str">
        <x:v>Observed behavior matched the tracker-backed expectation in the discovery test pass.</x:v>
      </x:c>
      <x:c r="J21" s="14" t="str">
        <x:v>Verified</x:v>
      </x:c>
      <x:c r="K21" s="14" t="str">
        <x:v>Automated UI</x:v>
      </x:c>
      <x:c r="L21" s="14" t="str">
        <x:v>Start autoplay; wait for slide advance; pause; restart at final slide; verify labels and timer stop.</x:v>
      </x:c>
      <x:c r="M21" s="14" t="str">
        <x:v>PASS — qa_evidence/logs/feature_ui_audit.json; qa_evidence/screenshots/tour-final-1920x1080.png</x:v>
      </x:c>
      <x:c r="N21" s="14" t="str"/>
      <x:c r="O21" s="14" t="str"/>
      <x:c r="P21" s="14" t="str">
        <x:v>No</x:v>
      </x:c>
      <x:c r="Q21" s="14" t="str"/>
      <x:c r="R21" s="14" t="str"/>
      <x:c r="S21" s="14" t="str"/>
      <x:c r="T21" s="14" t="str"/>
      <x:c r="U21" s="14" t="str">
        <x:v>Not required in discovery pass.</x:v>
      </x:c>
      <x:c r="V21" s="14" t="str">
        <x:v>Verified</x:v>
      </x:c>
      <x:c r="W21" s="14" t="str">
        <x:v>No</x:v>
      </x:c>
      <x:c r="X21" s="14" t="str">
        <x:v>Discovery evidence: qa_evidence/logs/feature_ui_audit.json; qa_evidence/screenshots/tour-final-1920x1080.png</x:v>
      </x:c>
      <x:c r="Y21" s="14" t="str">
        <x:v>/goal implement the cutting edge UI rich with graphics and easy to understand</x:v>
      </x:c>
    </x:row>
    <x:row r="22">
      <x:c r="A22" s="14" t="str">
        <x:v>TOUR-004</x:v>
      </x:c>
      <x:c r="B22" s="14" t="str">
        <x:v>Tour exit behavior</x:v>
      </x:c>
      <x:c r="C22" s="14" t="str">
        <x:v>Product tour</x:v>
      </x:c>
      <x:c r="D22" s="14" t="str">
        <x:v>index.html; tests/landing-page.mjs</x:v>
      </x:c>
      <x:c r="E22" s="14" t="str">
        <x:v>/?tour=1</x:v>
      </x:c>
      <x:c r="F22" s="14" t="str">
        <x:v>Presentation viewer</x:v>
      </x:c>
      <x:c r="G22" s="14" t="str">
        <x:v>As a viewer, I want to exit the tour by button or Escape so that I can return to the landing page immediately.</x:v>
      </x:c>
      <x:c r="H22" s="14" t="str">
        <x:v>Exit button and Escape leave presentation mode, restore clean URL state, and return to top.</x:v>
      </x:c>
      <x:c r="I22" s="14" t="str">
        <x:v>Observed behavior matched the tracker-backed expectation in the discovery test pass.</x:v>
      </x:c>
      <x:c r="J22" s="14" t="str">
        <x:v>Verified</x:v>
      </x:c>
      <x:c r="K22" s="14" t="str">
        <x:v>Automated UI</x:v>
      </x:c>
      <x:c r="L22" s="14" t="str">
        <x:v>Exit by button and by Escape in separate runs; verify theater removed, URL query cleared, scroll position reset.</x:v>
      </x:c>
      <x:c r="M22" s="14" t="str">
        <x:v>PASS — qa_evidence/logs/feature_ui_audit.json; qa_evidence/screenshots/tour-final-1920x1080.png</x:v>
      </x:c>
      <x:c r="N22" s="14" t="str"/>
      <x:c r="O22" s="14" t="str"/>
      <x:c r="P22" s="14" t="str">
        <x:v>No</x:v>
      </x:c>
      <x:c r="Q22" s="14" t="str"/>
      <x:c r="R22" s="14" t="str"/>
      <x:c r="S22" s="14" t="str"/>
      <x:c r="T22" s="14" t="str"/>
      <x:c r="U22" s="14" t="str">
        <x:v>Not required in discovery pass.</x:v>
      </x:c>
      <x:c r="V22" s="14" t="str">
        <x:v>Verified</x:v>
      </x:c>
      <x:c r="W22" s="14" t="str">
        <x:v>No</x:v>
      </x:c>
      <x:c r="X22" s="14" t="str">
        <x:v>Discovery evidence: qa_evidence/logs/feature_ui_audit.json; qa_evidence/screenshots/tour-final-1920x1080.png</x:v>
      </x:c>
      <x:c r="Y22" s="14" t="str">
        <x:v>/goal implement the cutting edge UI rich with graphics and easy to understand</x:v>
      </x:c>
    </x:row>
    <x:row r="23">
      <x:c r="A23" s="14" t="str">
        <x:v>TOUR-005</x:v>
      </x:c>
      <x:c r="B23" s="14" t="str">
        <x:v>Tour recording layout</x:v>
      </x:c>
      <x:c r="C23" s="14" t="str">
        <x:v>Product tour</x:v>
      </x:c>
      <x:c r="D23" s="14" t="str">
        <x:v>index.html; scripts/record-product-tour.mjs</x:v>
      </x:c>
      <x:c r="E23" s="14" t="str">
        <x:v>/?tour=1 at 1920x1080</x:v>
      </x:c>
      <x:c r="F23" s="14" t="str">
        <x:v>Content producer</x:v>
      </x:c>
      <x:c r="G23" s="14" t="str">
        <x:v>As a content producer, I want a recording-safe layout so that slides remain readable in a 16:9 video.</x:v>
      </x:c>
      <x:c r="H23" s="14" t="str">
        <x:v>All slides fit 1920x1080 without overflow, controls remain visible, and essential text is legible.</x:v>
      </x:c>
      <x:c r="I23" s="14" t="str">
        <x:v>Observed behavior matched the tracker-backed expectation in the discovery test pass.</x:v>
      </x:c>
      <x:c r="J23" s="14" t="str">
        <x:v>Verified</x:v>
      </x:c>
      <x:c r="K23" s="14" t="str">
        <x:v>Automated UI</x:v>
      </x:c>
      <x:c r="L23" s="14" t="str">
        <x:v>Visit every slide at 1920x1080; measure overflow and bounding boxes; capture screenshots.</x:v>
      </x:c>
      <x:c r="M23" s="14" t="str">
        <x:v>PASS — qa_evidence/logs/feature_ui_audit.json; qa_evidence/screenshots/tour-final-1920x1080.png</x:v>
      </x:c>
      <x:c r="N23" s="14" t="str"/>
      <x:c r="O23" s="14" t="str"/>
      <x:c r="P23" s="14" t="str">
        <x:v>No</x:v>
      </x:c>
      <x:c r="Q23" s="14" t="str"/>
      <x:c r="R23" s="14" t="str"/>
      <x:c r="S23" s="14" t="str"/>
      <x:c r="T23" s="14" t="str"/>
      <x:c r="U23" s="14" t="str">
        <x:v>Not required in discovery pass.</x:v>
      </x:c>
      <x:c r="V23" s="14" t="str">
        <x:v>Verified</x:v>
      </x:c>
      <x:c r="W23" s="14" t="str">
        <x:v>No</x:v>
      </x:c>
      <x:c r="X23" s="14" t="str">
        <x:v>Discovery evidence: qa_evidence/logs/feature_ui_audit.json; qa_evidence/screenshots/tour-final-1920x1080.png</x:v>
      </x:c>
      <x:c r="Y23" s="14" t="str">
        <x:v>/goal implement the cutting edge UI rich with graphics and easy to understand</x:v>
      </x:c>
    </x:row>
    <x:row r="24">
      <x:c r="A24" s="14" t="str">
        <x:v>AAPL-001</x:v>
      </x:c>
      <x:c r="B24" s="14" t="str">
        <x:v>AAPL demo navigation</x:v>
      </x:c>
      <x:c r="C24" s="14" t="str">
        <x:v>AAPL Client Demo / Navigation</x:v>
      </x:c>
      <x:c r="D24" s="14" t="str">
        <x:v>client-demo/google-cloud-aapl/Google_Cloud_AAPL_DeltaSignal_MCP_Client_Demo_2026_08_06.html; client-demo/google-cloud-aapl/test-interactive-walkthrough.mjs</x:v>
      </x:c>
      <x:c r="E24" s="14" t="str">
        <x:v>/client-demo/google-cloud-aapl/</x:v>
      </x:c>
      <x:c r="F24" s="14" t="str">
        <x:v>Client evaluator</x:v>
      </x:c>
      <x:c r="G24" s="14" t="str">
        <x:v>As a client evaluator, I want links to the main site, MCP surface, and source so that I can inspect the demo context.</x:v>
      </x:c>
      <x:c r="H24" s="14" t="str">
        <x:v>Navigation is visible, legible, and links to correct public destinations.</x:v>
      </x:c>
      <x:c r="I24" s="14" t="str">
        <x:v>Observed behavior matched the tracker-backed expectation in the discovery test pass.</x:v>
      </x:c>
      <x:c r="J24" s="14" t="str">
        <x:v>Verified</x:v>
      </x:c>
      <x:c r="K24" s="14" t="str">
        <x:v>Automated UI</x:v>
      </x:c>
      <x:c r="L24" s="14" t="str">
        <x:v>Load demo; inspect top navigation labels/hrefs; validate local main-site return and external URLs.</x:v>
      </x:c>
      <x:c r="M24" s="14" t="str">
        <x:v>PASS — qa_evidence/logs/aapl-walkthrough-test.log; qa_evidence/logs/feature_ui_audit.json</x:v>
      </x:c>
      <x:c r="N24" s="14" t="str"/>
      <x:c r="O24" s="14" t="str"/>
      <x:c r="P24" s="14" t="str">
        <x:v>No</x:v>
      </x:c>
      <x:c r="Q24" s="14" t="str"/>
      <x:c r="R24" s="14" t="str"/>
      <x:c r="S24" s="14" t="str"/>
      <x:c r="T24" s="14" t="str"/>
      <x:c r="U24" s="14" t="str">
        <x:v>Not required in discovery pass.</x:v>
      </x:c>
      <x:c r="V24" s="14" t="str">
        <x:v>Verified</x:v>
      </x:c>
      <x:c r="W24" s="14" t="str">
        <x:v>No</x:v>
      </x:c>
      <x:c r="X24" s="14" t="str">
        <x:v>Discovery evidence: qa_evidence/logs/aapl-walkthrough-test.log; qa_evidence/logs/feature_ui_audit.json</x:v>
      </x:c>
      <x:c r="Y24" s="14" t="str">
        <x:v>/goal implement the cutting edge UI rich with graphics and easy to understand</x:v>
      </x:c>
    </x:row>
    <x:row r="25">
      <x:c r="A25" s="14" t="str">
        <x:v>AAPL-002</x:v>
      </x:c>
      <x:c r="B25" s="14" t="str">
        <x:v>Six-stage architecture tabs</x:v>
      </x:c>
      <x:c r="C25" s="14" t="str">
        <x:v>AAPL Client Demo / Walkthrough</x:v>
      </x:c>
      <x:c r="D25" s="14" t="str">
        <x:v>client-demo/google-cloud-aapl/Google_Cloud_AAPL_DeltaSignal_MCP_Client_Demo_2026_08_06.html; client-demo/google-cloud-aapl/test-interactive-walkthrough.mjs</x:v>
      </x:c>
      <x:c r="E25" s="14" t="str">
        <x:v>#interactive-walkthrough</x:v>
      </x:c>
      <x:c r="F25" s="14" t="str">
        <x:v>Client evaluator</x:v>
      </x:c>
      <x:c r="G25" s="14" t="str">
        <x:v>As a client evaluator, I want direct stage selection so that I can inspect Source, Govern, Route, Delegate, Review, and Deliver in any order.</x:v>
      </x:c>
      <x:c r="H25" s="14" t="str">
        <x:v>Six tabs activate the corresponding visual nodes, copy, evidence boundary, count, and progress state.</x:v>
      </x:c>
      <x:c r="I25" s="14" t="str">
        <x:v>Observed behavior matched the tracker-backed expectation in the discovery test pass.</x:v>
      </x:c>
      <x:c r="J25" s="14" t="str">
        <x:v>Verified</x:v>
      </x:c>
      <x:c r="K25" s="14" t="str">
        <x:v>Automated UI</x:v>
      </x:c>
      <x:c r="L25" s="14" t="str">
        <x:v>Count six tabs; click each; assert active class, aria-selected, stage title/copy/boundary/count, and live node states.</x:v>
      </x:c>
      <x:c r="M25" s="14" t="str">
        <x:v>PASS — qa_evidence/logs/aapl-walkthrough-test.log; qa_evidence/logs/feature_ui_audit.json</x:v>
      </x:c>
      <x:c r="N25" s="14" t="str"/>
      <x:c r="O25" s="14" t="str"/>
      <x:c r="P25" s="14" t="str">
        <x:v>No</x:v>
      </x:c>
      <x:c r="Q25" s="14" t="str"/>
      <x:c r="R25" s="14" t="str"/>
      <x:c r="S25" s="14" t="str"/>
      <x:c r="T25" s="14" t="str"/>
      <x:c r="U25" s="14" t="str">
        <x:v>Not required in discovery pass.</x:v>
      </x:c>
      <x:c r="V25" s="14" t="str">
        <x:v>Verified</x:v>
      </x:c>
      <x:c r="W25" s="14" t="str">
        <x:v>No</x:v>
      </x:c>
      <x:c r="X25" s="14" t="str">
        <x:v>Discovery evidence: qa_evidence/logs/aapl-walkthrough-test.log; qa_evidence/logs/feature_ui_audit.json</x:v>
      </x:c>
      <x:c r="Y25" s="14" t="str">
        <x:v>/goal implement the cutting edge UI rich with graphics and easy to understand</x:v>
      </x:c>
    </x:row>
    <x:row r="26">
      <x:c r="A26" s="14" t="str">
        <x:v>AAPL-003</x:v>
      </x:c>
      <x:c r="B26" s="14" t="str">
        <x:v>Walkthrough back and next</x:v>
      </x:c>
      <x:c r="C26" s="14" t="str">
        <x:v>AAPL Client Demo / Walkthrough</x:v>
      </x:c>
      <x:c r="D26" s="14" t="str">
        <x:v>client-demo/google-cloud-aapl/Google_Cloud_AAPL_DeltaSignal_MCP_Client_Demo_2026_08_06.html; client-demo/google-cloud-aapl/test-interactive-walkthrough.mjs</x:v>
      </x:c>
      <x:c r="E26" s="14" t="str">
        <x:v>#interactive-walkthrough</x:v>
      </x:c>
      <x:c r="F26" s="14" t="str">
        <x:v>Demo viewer</x:v>
      </x:c>
      <x:c r="G26" s="14" t="str">
        <x:v>As a demo viewer, I want Back and Next controls so that I can step through the evidence path sequentially.</x:v>
      </x:c>
      <x:c r="H26" s="14" t="str">
        <x:v>Back/Next advance one stage and disable correctly at first/final stages.</x:v>
      </x:c>
      <x:c r="I26" s="14" t="str">
        <x:v>Observed behavior matched the tracker-backed expectation in the discovery test pass.</x:v>
      </x:c>
      <x:c r="J26" s="14" t="str">
        <x:v>Verified</x:v>
      </x:c>
      <x:c r="K26" s="14" t="str">
        <x:v>Automated UI</x:v>
      </x:c>
      <x:c r="L26" s="14" t="str">
        <x:v>Navigate first to last and back; assert counts, active stage, and disabled controls.</x:v>
      </x:c>
      <x:c r="M26" s="14" t="str">
        <x:v>PASS — qa_evidence/logs/aapl-walkthrough-test.log; qa_evidence/logs/feature_ui_audit.json</x:v>
      </x:c>
      <x:c r="N26" s="14" t="str"/>
      <x:c r="O26" s="14" t="str"/>
      <x:c r="P26" s="14" t="str">
        <x:v>No</x:v>
      </x:c>
      <x:c r="Q26" s="14" t="str"/>
      <x:c r="R26" s="14" t="str"/>
      <x:c r="S26" s="14" t="str"/>
      <x:c r="T26" s="14" t="str"/>
      <x:c r="U26" s="14" t="str">
        <x:v>Not required in discovery pass.</x:v>
      </x:c>
      <x:c r="V26" s="14" t="str">
        <x:v>Verified</x:v>
      </x:c>
      <x:c r="W26" s="14" t="str">
        <x:v>No</x:v>
      </x:c>
      <x:c r="X26" s="14" t="str">
        <x:v>Discovery evidence: qa_evidence/logs/aapl-walkthrough-test.log; qa_evidence/logs/feature_ui_audit.json</x:v>
      </x:c>
      <x:c r="Y26" s="14" t="str">
        <x:v>/goal implement the cutting edge UI rich with graphics and easy to understand</x:v>
      </x:c>
    </x:row>
    <x:row r="27">
      <x:c r="A27" s="14" t="str">
        <x:v>AAPL-004</x:v>
      </x:c>
      <x:c r="B27" s="14" t="str">
        <x:v>Walkthrough reset</x:v>
      </x:c>
      <x:c r="C27" s="14" t="str">
        <x:v>AAPL Client Demo / Walkthrough</x:v>
      </x:c>
      <x:c r="D27" s="14" t="str">
        <x:v>client-demo/google-cloud-aapl/Google_Cloud_AAPL_DeltaSignal_MCP_Client_Demo_2026_08_06.html; client-demo/google-cloud-aapl/test-interactive-walkthrough.mjs</x:v>
      </x:c>
      <x:c r="E27" s="14" t="str">
        <x:v>#interactive-walkthrough</x:v>
      </x:c>
      <x:c r="F27" s="14" t="str">
        <x:v>Demo viewer</x:v>
      </x:c>
      <x:c r="G27" s="14" t="str">
        <x:v>As a demo viewer, I want Reset so that I can restart a demonstration from Source.</x:v>
      </x:c>
      <x:c r="H27" s="14" t="str">
        <x:v>Reset stops autoplay and restores stage 1, progress, copy, and active nodes.</x:v>
      </x:c>
      <x:c r="I27" s="14" t="str">
        <x:v>Observed behavior matched the tracker-backed expectation in the discovery test pass.</x:v>
      </x:c>
      <x:c r="J27" s="14" t="str">
        <x:v>Verified</x:v>
      </x:c>
      <x:c r="K27" s="14" t="str">
        <x:v>Automated UI</x:v>
      </x:c>
      <x:c r="L27" s="14" t="str">
        <x:v>Navigate to stage 4; start autoplay; click Reset; assert stage 1 and paused state.</x:v>
      </x:c>
      <x:c r="M27" s="14" t="str">
        <x:v>PASS — qa_evidence/logs/aapl-walkthrough-test.log; qa_evidence/logs/feature_ui_audit.json</x:v>
      </x:c>
      <x:c r="N27" s="14" t="str"/>
      <x:c r="O27" s="14" t="str"/>
      <x:c r="P27" s="14" t="str">
        <x:v>No</x:v>
      </x:c>
      <x:c r="Q27" s="14" t="str"/>
      <x:c r="R27" s="14" t="str"/>
      <x:c r="S27" s="14" t="str"/>
      <x:c r="T27" s="14" t="str"/>
      <x:c r="U27" s="14" t="str">
        <x:v>Not required in discovery pass.</x:v>
      </x:c>
      <x:c r="V27" s="14" t="str">
        <x:v>Verified</x:v>
      </x:c>
      <x:c r="W27" s="14" t="str">
        <x:v>No</x:v>
      </x:c>
      <x:c r="X27" s="14" t="str">
        <x:v>Discovery evidence: qa_evidence/logs/aapl-walkthrough-test.log; qa_evidence/logs/feature_ui_audit.json</x:v>
      </x:c>
      <x:c r="Y27" s="14" t="str">
        <x:v>/goal implement the cutting edge UI rich with graphics and easy to understand</x:v>
      </x:c>
    </x:row>
    <x:row r="28">
      <x:c r="A28" s="14" t="str">
        <x:v>AAPL-005</x:v>
      </x:c>
      <x:c r="B28" s="14" t="str">
        <x:v>Walkthrough autoplay</x:v>
      </x:c>
      <x:c r="C28" s="14" t="str">
        <x:v>AAPL Client Demo / Walkthrough</x:v>
      </x:c>
      <x:c r="D28" s="14" t="str">
        <x:v>client-demo/google-cloud-aapl/Google_Cloud_AAPL_DeltaSignal_MCP_Client_Demo_2026_08_06.html; client-demo/google-cloud-aapl/test-interactive-walkthrough.mjs</x:v>
      </x:c>
      <x:c r="E28" s="14" t="str">
        <x:v>#interactive-walkthrough</x:v>
      </x:c>
      <x:c r="F28" s="14" t="str">
        <x:v>Presenter</x:v>
      </x:c>
      <x:c r="G28" s="14" t="str">
        <x:v>As a presenter, I want autoplay so that the six-stage explanation can run hands-free.</x:v>
      </x:c>
      <x:c r="H28" s="14" t="str">
        <x:v>Autoplay advances, can pause, updates its accessible label, and stops at the final stage.</x:v>
      </x:c>
      <x:c r="I28" s="14" t="str">
        <x:v>Observed behavior matched the tracker-backed expectation in the discovery test pass.</x:v>
      </x:c>
      <x:c r="J28" s="14" t="str">
        <x:v>Verified</x:v>
      </x:c>
      <x:c r="K28" s="14" t="str">
        <x:v>Automated UI</x:v>
      </x:c>
      <x:c r="L28" s="14" t="str">
        <x:v>Start autoplay; wait for stage 2; pause; verify label; resume to final and assert stop.</x:v>
      </x:c>
      <x:c r="M28" s="14" t="str">
        <x:v>PASS — qa_evidence/logs/aapl-walkthrough-test.log; qa_evidence/logs/feature_ui_audit.json</x:v>
      </x:c>
      <x:c r="N28" s="14" t="str"/>
      <x:c r="O28" s="14" t="str"/>
      <x:c r="P28" s="14" t="str">
        <x:v>No</x:v>
      </x:c>
      <x:c r="Q28" s="14" t="str"/>
      <x:c r="R28" s="14" t="str"/>
      <x:c r="S28" s="14" t="str"/>
      <x:c r="T28" s="14" t="str"/>
      <x:c r="U28" s="14" t="str">
        <x:v>Not required in discovery pass.</x:v>
      </x:c>
      <x:c r="V28" s="14" t="str">
        <x:v>Verified</x:v>
      </x:c>
      <x:c r="W28" s="14" t="str">
        <x:v>No</x:v>
      </x:c>
      <x:c r="X28" s="14" t="str">
        <x:v>Discovery evidence: qa_evidence/logs/aapl-walkthrough-test.log; qa_evidence/logs/feature_ui_audit.json</x:v>
      </x:c>
      <x:c r="Y28" s="14" t="str">
        <x:v>/goal implement the cutting edge UI rich with graphics and easy to understand</x:v>
      </x:c>
    </x:row>
    <x:row r="29">
      <x:c r="A29" s="14" t="str">
        <x:v>AAPL-006</x:v>
      </x:c>
      <x:c r="B29" s="14" t="str">
        <x:v>Walkthrough presentation view</x:v>
      </x:c>
      <x:c r="C29" s="14" t="str">
        <x:v>AAPL Client Demo / Presentation</x:v>
      </x:c>
      <x:c r="D29" s="14" t="str">
        <x:v>client-demo/google-cloud-aapl/Google_Cloud_AAPL_DeltaSignal_MCP_Client_Demo_2026_08_06.html; client-demo/google-cloud-aapl/test-interactive-walkthrough.mjs</x:v>
      </x:c>
      <x:c r="E29" s="14" t="str">
        <x:v>?presentation=1 or Presentation view</x:v>
      </x:c>
      <x:c r="F29" s="14" t="str">
        <x:v>Presenter</x:v>
      </x:c>
      <x:c r="G29" s="14" t="str">
        <x:v>As a presenter, I want presentation mode so that I can record a focused walkthrough.</x:v>
      </x:c>
      <x:c r="H29" s="14" t="str">
        <x:v>Button and query parameter activate presentation mode; Escape exits; desktop and mobile have no horizontal overflow.</x:v>
      </x:c>
      <x:c r="I29" s="14" t="str">
        <x:v>Observed behavior matched the tracker-backed expectation in the discovery test pass.</x:v>
      </x:c>
      <x:c r="J29" s="14" t="str">
        <x:v>Verified</x:v>
      </x:c>
      <x:c r="K29" s="14" t="str">
        <x:v>Automated UI</x:v>
      </x:c>
      <x:c r="L29" s="14" t="str">
        <x:v>Activate by button and query; inspect body class; press Escape; repeat at 390x844 and measure overflow.</x:v>
      </x:c>
      <x:c r="M29" s="14" t="str">
        <x:v>PASS — qa_evidence/logs/aapl-walkthrough-test.log; qa_evidence/logs/feature_ui_audit.json</x:v>
      </x:c>
      <x:c r="N29" s="14" t="str"/>
      <x:c r="O29" s="14" t="str"/>
      <x:c r="P29" s="14" t="str">
        <x:v>No</x:v>
      </x:c>
      <x:c r="Q29" s="14" t="str"/>
      <x:c r="R29" s="14" t="str"/>
      <x:c r="S29" s="14" t="str"/>
      <x:c r="T29" s="14" t="str"/>
      <x:c r="U29" s="14" t="str">
        <x:v>Not required in discovery pass.</x:v>
      </x:c>
      <x:c r="V29" s="14" t="str">
        <x:v>Verified</x:v>
      </x:c>
      <x:c r="W29" s="14" t="str">
        <x:v>No</x:v>
      </x:c>
      <x:c r="X29" s="14" t="str">
        <x:v>Discovery evidence: qa_evidence/logs/aapl-walkthrough-test.log; qa_evidence/logs/feature_ui_audit.json</x:v>
      </x:c>
      <x:c r="Y29" s="14" t="str">
        <x:v>/goal implement the cutting edge UI rich with graphics and easy to understand</x:v>
      </x:c>
    </x:row>
    <x:row r="30">
      <x:c r="A30" s="14" t="str">
        <x:v>AAPL-007</x:v>
      </x:c>
      <x:c r="B30" s="14" t="str">
        <x:v>MCP call-path visualization</x:v>
      </x:c>
      <x:c r="C30" s="14" t="str">
        <x:v>AAPL Client Demo / MCP</x:v>
      </x:c>
      <x:c r="D30" s="14" t="str">
        <x:v>client-demo/google-cloud-aapl/Google_Cloud_AAPL_DeltaSignal_MCP_Client_Demo_2026_08_06.html; client-demo/google-cloud-aapl/test-interactive-walkthrough.mjs</x:v>
      </x:c>
      <x:c r="E30" s="14" t="str">
        <x:v>#mcp-call-path</x:v>
      </x:c>
      <x:c r="F30" s="14" t="str">
        <x:v>AI engineer</x:v>
      </x:c>
      <x:c r="G30" s="14" t="str">
        <x:v>As an AI engineer, I want a concrete MCP request/response visualization so that I know what the Google Cloud coordinator sends and receives.</x:v>
      </x:c>
      <x:c r="H30" s="14" t="str">
        <x:v>Visualization names coordinator, tool, AAPL ticker payload, evidence envelope, provenance boundary, and review path in readable form.</x:v>
      </x:c>
      <x:c r="I30" s="14" t="str">
        <x:v>Observed behavior matched the tracker-backed expectation in the discovery test pass.</x:v>
      </x:c>
      <x:c r="J30" s="14" t="str">
        <x:v>Verified</x:v>
      </x:c>
      <x:c r="K30" s="14" t="str">
        <x:v>Automated UI</x:v>
      </x:c>
      <x:c r="L30" s="14" t="str">
        <x:v>Inspect call-path text and graphics; assert coordinator, deltasignal_company_fundamentals, ticker AAPL, evidence envelope; capture screenshot.</x:v>
      </x:c>
      <x:c r="M30" s="14" t="str">
        <x:v>PASS — qa_evidence/logs/aapl-walkthrough-test.log; qa_evidence/logs/feature_ui_audit.json</x:v>
      </x:c>
      <x:c r="N30" s="14" t="str"/>
      <x:c r="O30" s="14" t="str"/>
      <x:c r="P30" s="14" t="str">
        <x:v>No</x:v>
      </x:c>
      <x:c r="Q30" s="14" t="str"/>
      <x:c r="R30" s="14" t="str"/>
      <x:c r="S30" s="14" t="str"/>
      <x:c r="T30" s="14" t="str"/>
      <x:c r="U30" s="14" t="str">
        <x:v>Not required in discovery pass.</x:v>
      </x:c>
      <x:c r="V30" s="14" t="str">
        <x:v>Verified</x:v>
      </x:c>
      <x:c r="W30" s="14" t="str">
        <x:v>No</x:v>
      </x:c>
      <x:c r="X30" s="14" t="str">
        <x:v>Discovery evidence: qa_evidence/logs/aapl-walkthrough-test.log; qa_evidence/logs/feature_ui_audit.json</x:v>
      </x:c>
      <x:c r="Y30" s="14" t="str">
        <x:v>/goal implement the cutting edge UI rich with graphics and easy to understand</x:v>
      </x:c>
    </x:row>
    <x:row r="31">
      <x:c r="A31" s="14" t="str">
        <x:v>AAPL-008</x:v>
      </x:c>
      <x:c r="B31" s="14" t="str">
        <x:v>Evidence-boundary explanations</x:v>
      </x:c>
      <x:c r="C31" s="14" t="str">
        <x:v>AAPL Client Demo / Trust</x:v>
      </x:c>
      <x:c r="D31" s="14" t="str">
        <x:v>client-demo/google-cloud-aapl/Google_Cloud_AAPL_DeltaSignal_MCP_Client_Demo_2026_08_06.html; client-demo/google-cloud-aapl/test-interactive-walkthrough.mjs</x:v>
      </x:c>
      <x:c r="E31" s="14" t="str">
        <x:v>#interactive-walkthrough</x:v>
      </x:c>
      <x:c r="F31" s="14" t="str">
        <x:v>Financial analyst</x:v>
      </x:c>
      <x:c r="G31" s="14" t="str">
        <x:v>As a financial analyst, I want each stage to state what it can and cannot prove so that I do not confuse evidence with interpretation.</x:v>
      </x:c>
      <x:c r="H31" s="14" t="str">
        <x:v>Every stage has a distinct boundary statement; missing attribution and unavailable levels remain explicit.</x:v>
      </x:c>
      <x:c r="I31" s="14" t="str">
        <x:v>Observed behavior matched the tracker-backed expectation in the discovery test pass.</x:v>
      </x:c>
      <x:c r="J31" s="14" t="str">
        <x:v>Verified</x:v>
      </x:c>
      <x:c r="K31" s="14" t="str">
        <x:v>Automated UI</x:v>
      </x:c>
      <x:c r="L31" s="14" t="str">
        <x:v>Select each stage; record boundary text; assert nonempty and distinct; verify no unsupported trade or attribution claims.</x:v>
      </x:c>
      <x:c r="M31" s="14" t="str">
        <x:v>PASS — qa_evidence/logs/aapl-walkthrough-test.log; qa_evidence/logs/feature_ui_audit.json</x:v>
      </x:c>
      <x:c r="N31" s="14" t="str"/>
      <x:c r="O31" s="14" t="str"/>
      <x:c r="P31" s="14" t="str">
        <x:v>No</x:v>
      </x:c>
      <x:c r="Q31" s="14" t="str"/>
      <x:c r="R31" s="14" t="str"/>
      <x:c r="S31" s="14" t="str"/>
      <x:c r="T31" s="14" t="str"/>
      <x:c r="U31" s="14" t="str">
        <x:v>Not required in discovery pass.</x:v>
      </x:c>
      <x:c r="V31" s="14" t="str">
        <x:v>Verified</x:v>
      </x:c>
      <x:c r="W31" s="14" t="str">
        <x:v>No</x:v>
      </x:c>
      <x:c r="X31" s="14" t="str">
        <x:v>Discovery evidence: qa_evidence/logs/aapl-walkthrough-test.log; qa_evidence/logs/feature_ui_audit.json</x:v>
      </x:c>
      <x:c r="Y31" s="14" t="str">
        <x:v>/goal implement the cutting edge UI rich with graphics and easy to understand</x:v>
      </x:c>
    </x:row>
    <x:row r="32">
      <x:c r="A32" s="14" t="str">
        <x:v>AAPL-009</x:v>
      </x:c>
      <x:c r="B32" s="14" t="str">
        <x:v>Demo resource actions</x:v>
      </x:c>
      <x:c r="C32" s="14" t="str">
        <x:v>AAPL Client Demo / Resources</x:v>
      </x:c>
      <x:c r="D32" s="14" t="str">
        <x:v>client-demo/google-cloud-aapl/Google_Cloud_AAPL_DeltaSignal_MCP_Client_Demo_2026_08_06.html; client-demo/google-cloud-aapl/test-interactive-walkthrough.mjs</x:v>
      </x:c>
      <x:c r="E32" s="14" t="str">
        <x:v>Demo footer actions</x:v>
      </x:c>
      <x:c r="F32" s="14" t="str">
        <x:v>Builder</x:v>
      </x:c>
      <x:c r="G32" s="14" t="str">
        <x:v>As a builder, I want architecture, video scenario, MCP, and operator-contract links so that I can reproduce the workflow.</x:v>
      </x:c>
      <x:c r="H32" s="14" t="str">
        <x:v>All resource actions are clearly labeled and resolve to valid targets.</x:v>
      </x:c>
      <x:c r="I32" s="14" t="str">
        <x:v>Observed behavior matched the tracker-backed expectation in the discovery test pass.</x:v>
      </x:c>
      <x:c r="J32" s="14" t="str">
        <x:v>Verified</x:v>
      </x:c>
      <x:c r="K32" s="14" t="str">
        <x:v>Automated UI</x:v>
      </x:c>
      <x:c r="L32" s="14" t="str">
        <x:v>Enumerate four resource links; validate hrefs and local 200 responses; inspect keyboard focus.</x:v>
      </x:c>
      <x:c r="M32" s="14" t="str">
        <x:v>PASS — qa_evidence/logs/aapl-walkthrough-test.log; qa_evidence/logs/feature_ui_audit.json</x:v>
      </x:c>
      <x:c r="N32" s="14" t="str"/>
      <x:c r="O32" s="14" t="str"/>
      <x:c r="P32" s="14" t="str">
        <x:v>No</x:v>
      </x:c>
      <x:c r="Q32" s="14" t="str"/>
      <x:c r="R32" s="14" t="str"/>
      <x:c r="S32" s="14" t="str"/>
      <x:c r="T32" s="14" t="str"/>
      <x:c r="U32" s="14" t="str">
        <x:v>Not required in discovery pass.</x:v>
      </x:c>
      <x:c r="V32" s="14" t="str">
        <x:v>Verified</x:v>
      </x:c>
      <x:c r="W32" s="14" t="str">
        <x:v>No</x:v>
      </x:c>
      <x:c r="X32" s="14" t="str">
        <x:v>Discovery evidence: qa_evidence/logs/aapl-walkthrough-test.log; qa_evidence/logs/feature_ui_audit.json</x:v>
      </x:c>
      <x:c r="Y32" s="14" t="str">
        <x:v>/goal implement the cutting edge UI rich with graphics and easy to understand</x:v>
      </x:c>
    </x:row>
    <x:row r="33">
      <x:c r="A33" s="14" t="str">
        <x:v>AAPL-010</x:v>
      </x:c>
      <x:c r="B33" s="14" t="str">
        <x:v>Responsive AAPL demo</x:v>
      </x:c>
      <x:c r="C33" s="14" t="str">
        <x:v>AAPL Client Demo / Cross-cutting</x:v>
      </x:c>
      <x:c r="D33" s="14" t="str">
        <x:v>client-demo/google-cloud-aapl/Google_Cloud_AAPL_DeltaSignal_MCP_Client_Demo_2026_08_06.html; client-demo/google-cloud-aapl/test-interactive-walkthrough.mjs</x:v>
      </x:c>
      <x:c r="E33" s="14" t="str">
        <x:v>Demo desktop and mobile</x:v>
      </x:c>
      <x:c r="F33" s="14" t="str">
        <x:v>All visitors</x:v>
      </x:c>
      <x:c r="G33" s="14" t="str">
        <x:v>As a visitor, I want the interactive demo to remain readable on desktop and mobile so that diagrams and controls are usable.</x:v>
      </x:c>
      <x:c r="H33" s="14" t="str">
        <x:v>No horizontal overflow; controls wrap safely; text remains legible; presentation mode is usable at 390px and 1440px.</x:v>
      </x:c>
      <x:c r="I33" s="14" t="str">
        <x:v>Observed behavior matched the tracker-backed expectation in the discovery test pass.</x:v>
      </x:c>
      <x:c r="J33" s="14" t="str">
        <x:v>Verified</x:v>
      </x:c>
      <x:c r="K33" s="14" t="str">
        <x:v>Automated UI</x:v>
      </x:c>
      <x:c r="L33" s="14" t="str">
        <x:v>Measure overflow and control bounding boxes at 390x844, 1024x900, 1440x1000; run accessibility snapshot.</x:v>
      </x:c>
      <x:c r="M33" s="14" t="str">
        <x:v>PASS — qa_evidence/logs/aapl-walkthrough-test.log; qa_evidence/logs/feature_ui_audit.json</x:v>
      </x:c>
      <x:c r="N33" s="14" t="str"/>
      <x:c r="O33" s="14" t="str"/>
      <x:c r="P33" s="14" t="str">
        <x:v>No</x:v>
      </x:c>
      <x:c r="Q33" s="14" t="str"/>
      <x:c r="R33" s="14" t="str"/>
      <x:c r="S33" s="14" t="str"/>
      <x:c r="T33" s="14" t="str"/>
      <x:c r="U33" s="14" t="str">
        <x:v>Not required in discovery pass.</x:v>
      </x:c>
      <x:c r="V33" s="14" t="str">
        <x:v>Verified</x:v>
      </x:c>
      <x:c r="W33" s="14" t="str">
        <x:v>No</x:v>
      </x:c>
      <x:c r="X33" s="14" t="str">
        <x:v>Discovery evidence: qa_evidence/logs/aapl-walkthrough-test.log; qa_evidence/logs/feature_ui_audit.json</x:v>
      </x:c>
      <x:c r="Y33" s="14" t="str">
        <x:v>/goal implement the cutting edge UI rich with graphics and easy to understand</x:v>
      </x:c>
    </x:row>
    <x:row r="34">
      <x:c r="A34" s="14" t="str">
        <x:v>CLOUD-001</x:v>
      </x:c>
      <x:c r="B34" s="14" t="str">
        <x:v>Cloud Run root landing</x:v>
      </x:c>
      <x:c r="C34" s="14" t="str">
        <x:v>Cloud Run Web UI / Landing</x:v>
      </x:c>
      <x:c r="D34" s="14" t="str">
        <x:v>cmd/server/demo_ui.go; cmd/server/demo_ui_test.go</x:v>
      </x:c>
      <x:c r="E34" s="14" t="str">
        <x:v>GET /</x:v>
      </x:c>
      <x:c r="F34" s="14" t="str">
        <x:v>Technical evaluator</x:v>
      </x:c>
      <x:c r="G34" s="14" t="str">
        <x:v>As a technical evaluator, I want a concise service landing page so that I can open the browser demo or run the HUT proof.</x:v>
      </x:c>
      <x:c r="H34" s="14" t="str">
        <x:v>Landing communicates agent-executable diligence, execution loop, runtime identity, TripCode, and two clear actions.</x:v>
      </x:c>
      <x:c r="I34" s="14" t="str">
        <x:v>Root service page was reframed as DeltaSignal Evidence OS with Apple SEC/XBRL as stage one and HUT memory as a secondary action.</x:v>
      </x:c>
      <x:c r="J34" s="14" t="str">
        <x:v>Fixed</x:v>
      </x:c>
      <x:c r="K34" s="14" t="str">
        <x:v>Automated Test</x:v>
      </x:c>
      <x:c r="L34" s="14" t="str">
        <x:v>Run cmd/server route tests; render root HTML locally; inspect required copy, graphics, links, and responsive layout.</x:v>
      </x:c>
      <x:c r="M34" s="14" t="str">
        <x:v>FAIL — qa_evidence/screenshots/cloud-root-1440x1000.png | FIX VERIFIED</x:v>
      </x:c>
      <x:c r="N34" s="14" t="str">
        <x:v>Root landing still presents ‘Google for Startups AI Agents Challenge 2026 · Track 3’ and HUT as the product priority; this is stale competition framing.</x:v>
      </x:c>
      <x:c r="O34" s="14" t="str">
        <x:v>High</x:v>
      </x:c>
      <x:c r="P34" s="14" t="str">
        <x:v>Yes</x:v>
      </x:c>
      <x:c r="Q34" s="14" t="str">
        <x:v>Root service page was reframed as DeltaSignal Evidence OS with Apple SEC/XBRL as stage one and HUT memory as a secondary action.</x:v>
      </x:c>
      <x:c r="R34" s="14" t="str">
        <x:v>cmd/server/demo_ui.go; cmd/server/demo_ui_test.go</x:v>
      </x:c>
      <x:c r="S34" s="14" t="str">
        <x:v>4883949</x:v>
      </x:c>
      <x:c r="T34" s="14" t="str">
        <x:v>Run cmd/server route tests; render root HTML locally; inspect required copy, graphics, links, and responsive layout.</x:v>
      </x:c>
      <x:c r="U34" s="14" t="str">
        <x:v>PASS — desktop/mobile render without overflow; stale competition language absent; Apple and HUT roles explicit.</x:v>
      </x:c>
      <x:c r="V34" s="14" t="str">
        <x:v>Verified</x:v>
      </x:c>
      <x:c r="W34" s="14" t="str">
        <x:v>No</x:v>
      </x:c>
      <x:c r="X34" s="14" t="str">
        <x:v>Pre-fix discovery evidence: qa_evidence/screenshots/cloud-root-1440x1000.png | Retest evidence: qa_evidence/screenshots/cloud-root-1440x1000.png; qa_evidence/lighthouse/retest-cloud-root-desktop/report.json | Stable pre-fix finding: qa_evidence/logs/discovery_findings.json</x:v>
      </x:c>
      <x:c r="Y34" s="14" t="str">
        <x:v>/goal implement the cutting edge UI rich with graphics and easy to understand</x:v>
      </x:c>
    </x:row>
    <x:row r="35">
      <x:c r="A35" s="14" t="str">
        <x:v>CLOUD-002</x:v>
      </x:c>
      <x:c r="B35" s="14" t="str">
        <x:v>Cloud Run demo landing</x:v>
      </x:c>
      <x:c r="C35" s="14" t="str">
        <x:v>Cloud Run Web UI / Demo landing</x:v>
      </x:c>
      <x:c r="D35" s="14" t="str">
        <x:v>cmd/server/demo_ui.go; cmd/server/demo_ui_test.go</x:v>
      </x:c>
      <x:c r="E35" s="14" t="str">
        <x:v>GET /demo</x:v>
      </x:c>
      <x:c r="F35" s="14" t="str">
        <x:v>Demo viewer</x:v>
      </x:c>
      <x:c r="G35" s="14" t="str">
        <x:v>As a demo viewer, I want an animated HUT overview so that I understand how Substack research becomes agent-executable diligence.</x:v>
      </x:c>
      <x:c r="H35" s="14" t="str">
        <x:v>Page presents HUT TripCode, architecture graphic, proof counts, Go action, two-minute demo action, and return path.</x:v>
      </x:c>
      <x:c r="I35" s="14" t="str">
        <x:v>Demo landing now uses a complete architecture visual, sub-second reveal sequence, and explicit second-proof context.</x:v>
      </x:c>
      <x:c r="J35" s="14" t="str">
        <x:v>Fixed</x:v>
      </x:c>
      <x:c r="K35" s="14" t="str">
        <x:v>Automated Test</x:v>
      </x:c>
      <x:c r="L35" s="14" t="str">
        <x:v>Run route test; render /demo; verify copy, SVG architecture, actions, responsive behavior, and non-advice framing.</x:v>
      </x:c>
      <x:c r="M35" s="14" t="str">
        <x:v>FAIL — qa_evidence/screenshots/cloud-demo-1440x1000.png | FIX VERIFIED</x:v>
      </x:c>
      <x:c r="N35" s="14" t="str">
        <x:v>Demo landing is visually sparse after the narrow hero card, delays important controls behind long reveal animations, and retains stale competition branding.</x:v>
      </x:c>
      <x:c r="O35" s="14" t="str">
        <x:v>High</x:v>
      </x:c>
      <x:c r="P35" s="14" t="str">
        <x:v>Yes</x:v>
      </x:c>
      <x:c r="Q35" s="14" t="str">
        <x:v>Demo landing now uses a complete architecture visual, sub-second reveal sequence, and explicit second-proof context.</x:v>
      </x:c>
      <x:c r="R35" s="14" t="str">
        <x:v>cmd/server/demo_ui.go; cmd/server/demo_ui_test.go</x:v>
      </x:c>
      <x:c r="S35" s="14" t="str">
        <x:v>4883949</x:v>
      </x:c>
      <x:c r="T35" s="14" t="str">
        <x:v>Run route test; render /demo; verify copy, SVG architecture, actions, responsive behavior, and non-advice framing.</x:v>
      </x:c>
      <x:c r="U35" s="14" t="str">
        <x:v>PASS — first viewport is populated, readable, and visually explains User → Cloud Run → MCP/River/Evidence → packet.</x:v>
      </x:c>
      <x:c r="V35" s="14" t="str">
        <x:v>Verified</x:v>
      </x:c>
      <x:c r="W35" s="14" t="str">
        <x:v>No</x:v>
      </x:c>
      <x:c r="X35" s="14" t="str">
        <x:v>Pre-fix discovery evidence: qa_evidence/screenshots/cloud-demo-1440x1000.png | Retest evidence: qa_evidence/screenshots/cloud-demo-1440x1000.png | Stable pre-fix finding: qa_evidence/logs/discovery_findings.json</x:v>
      </x:c>
      <x:c r="Y35" s="14" t="str">
        <x:v>/goal implement the cutting edge UI rich with graphics and easy to understand</x:v>
      </x:c>
    </x:row>
    <x:row r="36">
      <x:c r="A36" s="14" t="str">
        <x:v>CLOUD-003</x:v>
      </x:c>
      <x:c r="B36" s="14" t="str">
        <x:v>Cloud demo credentials and identifiers</x:v>
      </x:c>
      <x:c r="C36" s="14" t="str">
        <x:v>Cloud Run Web UI / Inputs</x:v>
      </x:c>
      <x:c r="D36" s="14" t="str">
        <x:v>cmd/server/demo_ui.go; cmd/server/demo_ui_test.go</x:v>
      </x:c>
      <x:c r="E36" s="14" t="str">
        <x:v>GET /demo/run</x:v>
      </x:c>
      <x:c r="F36" s="14" t="str">
        <x:v>Authorized demo operator</x:v>
      </x:c>
      <x:c r="G36" s="14" t="str">
        <x:v>As an authorized operator, I want to enter a demo key, TripCode, and session ID so that protected requests use my intended context.</x:v>
      </x:c>
      <x:c r="H36" s="14" t="str">
        <x:v>Inputs are labeled, preserve password secrecy, contain safe defaults only for public identifiers, and are included in requests correctly.</x:v>
      </x:c>
      <x:c r="I36" s="14" t="str">
        <x:v>Observed behavior matched the tracker-backed expectation in the discovery test pass.</x:v>
      </x:c>
      <x:c r="J36" s="14" t="str">
        <x:v>Verified</x:v>
      </x:c>
      <x:c r="K36" s="14" t="str">
        <x:v>Automated Test</x:v>
      </x:c>
      <x:c r="L36" s="14" t="str">
        <x:v>Render /demo/run; inspect labels/types/defaults; enter values; intercept request headers/query/body and verify propagation without logging secrets.</x:v>
      </x:c>
      <x:c r="M36" s="14" t="str">
        <x:v>PASS — qa_evidence/logs/go-test-all.log; qa_evidence/logs/feature_ui_audit.json</x:v>
      </x:c>
      <x:c r="N36" s="14" t="str"/>
      <x:c r="O36" s="14" t="str"/>
      <x:c r="P36" s="14" t="str">
        <x:v>No</x:v>
      </x:c>
      <x:c r="Q36" s="14" t="str"/>
      <x:c r="R36" s="14" t="str"/>
      <x:c r="S36" s="14" t="str"/>
      <x:c r="T36" s="14" t="str"/>
      <x:c r="U36" s="14" t="str">
        <x:v>Not required in discovery pass.</x:v>
      </x:c>
      <x:c r="V36" s="14" t="str">
        <x:v>Verified</x:v>
      </x:c>
      <x:c r="W36" s="14" t="str">
        <x:v>No</x:v>
      </x:c>
      <x:c r="X36" s="14" t="str">
        <x:v>Discovery evidence: qa_evidence/logs/go-test-all.log; qa_evidence/logs/feature_ui_audit.json</x:v>
      </x:c>
      <x:c r="Y36" s="14" t="str">
        <x:v>/goal implement the cutting edge UI rich with graphics and easy to understand</x:v>
      </x:c>
    </x:row>
    <x:row r="37">
      <x:c r="A37" s="14" t="str">
        <x:v>CLOUD-004</x:v>
      </x:c>
      <x:c r="B37" s="14" t="str">
        <x:v>Overview and article modes</x:v>
      </x:c>
      <x:c r="C37" s="14" t="str">
        <x:v>Cloud Run Web UI / Response</x:v>
      </x:c>
      <x:c r="D37" s="14" t="str">
        <x:v>cmd/server/demo_ui.go; cmd/server/demo_ui_test.go</x:v>
      </x:c>
      <x:c r="E37" s="14" t="str">
        <x:v>/demo/run Overview and Article</x:v>
      </x:c>
      <x:c r="F37" s="14" t="str">
        <x:v>Demo viewer</x:v>
      </x:c>
      <x:c r="G37" s="14" t="str">
        <x:v>As a demo viewer, I want overview and article modes so that I understand the workflow before making live requests.</x:v>
      </x:c>
      <x:c r="H37" s="14" t="str">
        <x:v>Overview explains expected sequence; Article displays the public HUT article context and a safe external link.</x:v>
      </x:c>
      <x:c r="I37" s="14" t="str">
        <x:v>Observed behavior matched the tracker-backed expectation in the discovery test pass.</x:v>
      </x:c>
      <x:c r="J37" s="14" t="str">
        <x:v>Verified</x:v>
      </x:c>
      <x:c r="K37" s="14" t="str">
        <x:v>Automated Test</x:v>
      </x:c>
      <x:c r="L37" s="14" t="str">
        <x:v>Activate Overview and Article; verify response content, article image/link, no network mutation, and selected-action feedback.</x:v>
      </x:c>
      <x:c r="M37" s="14" t="str">
        <x:v>PASS — qa_evidence/logs/go-test-all.log; qa_evidence/logs/feature_ui_audit.json</x:v>
      </x:c>
      <x:c r="N37" s="14" t="str"/>
      <x:c r="O37" s="14" t="str"/>
      <x:c r="P37" s="14" t="str">
        <x:v>No</x:v>
      </x:c>
      <x:c r="Q37" s="14" t="str"/>
      <x:c r="R37" s="14" t="str"/>
      <x:c r="S37" s="14" t="str"/>
      <x:c r="T37" s="14" t="str"/>
      <x:c r="U37" s="14" t="str">
        <x:v>Not required in discovery pass.</x:v>
      </x:c>
      <x:c r="V37" s="14" t="str">
        <x:v>Verified</x:v>
      </x:c>
      <x:c r="W37" s="14" t="str">
        <x:v>No</x:v>
      </x:c>
      <x:c r="X37" s="14" t="str">
        <x:v>Discovery evidence: qa_evidence/logs/go-test-all.log; qa_evidence/logs/feature_ui_audit.json</x:v>
      </x:c>
      <x:c r="Y37" s="14" t="str">
        <x:v>/goal implement the cutting edge UI rich with graphics and easy to understand</x:v>
      </x:c>
    </x:row>
    <x:row r="38">
      <x:c r="A38" s="14" t="str">
        <x:v>CLOUD-005</x:v>
      </x:c>
      <x:c r="B38" s="14" t="str">
        <x:v>Health and agent discovery</x:v>
      </x:c>
      <x:c r="C38" s="14" t="str">
        <x:v>Cloud Run Web UI / Diagnostics</x:v>
      </x:c>
      <x:c r="D38" s="14" t="str">
        <x:v>cmd/server/demo_ui.go; cmd/server/demo_ui_test.go</x:v>
      </x:c>
      <x:c r="E38" s="14" t="str">
        <x:v>/demo/run Health and Card</x:v>
      </x:c>
      <x:c r="F38" s="14" t="str">
        <x:v>Agent builder</x:v>
      </x:c>
      <x:c r="G38" s="14" t="str">
        <x:v>As an agent builder, I want health and Agent Card controls so that I can verify service readiness and discover capabilities.</x:v>
      </x:c>
      <x:c r="H38" s="14" t="str">
        <x:v>Health requests /health and Card requests the public Agent Card; loading, success, error, and JSON presentation are visible.</x:v>
      </x:c>
      <x:c r="I38" s="14" t="str">
        <x:v>Observed behavior matched the tracker-backed expectation in the discovery test pass.</x:v>
      </x:c>
      <x:c r="J38" s="14" t="str">
        <x:v>Verified</x:v>
      </x:c>
      <x:c r="K38" s="14" t="str">
        <x:v>Automated Test</x:v>
      </x:c>
      <x:c r="L38" s="14" t="str">
        <x:v>Run local server; click Health and Card; verify request routes, loading state, response title, JSON syntax display, and failure behavior.</x:v>
      </x:c>
      <x:c r="M38" s="14" t="str">
        <x:v>PASS — qa_evidence/logs/go-test-all.log; qa_evidence/logs/feature_ui_audit.json</x:v>
      </x:c>
      <x:c r="N38" s="14" t="str"/>
      <x:c r="O38" s="14" t="str"/>
      <x:c r="P38" s="14" t="str">
        <x:v>No</x:v>
      </x:c>
      <x:c r="Q38" s="14" t="str"/>
      <x:c r="R38" s="14" t="str"/>
      <x:c r="S38" s="14" t="str"/>
      <x:c r="T38" s="14" t="str"/>
      <x:c r="U38" s="14" t="str">
        <x:v>Not required in discovery pass.</x:v>
      </x:c>
      <x:c r="V38" s="14" t="str">
        <x:v>Verified</x:v>
      </x:c>
      <x:c r="W38" s="14" t="str">
        <x:v>No</x:v>
      </x:c>
      <x:c r="X38" s="14" t="str">
        <x:v>Discovery evidence: qa_evidence/logs/go-test-all.log; qa_evidence/logs/feature_ui_audit.json</x:v>
      </x:c>
      <x:c r="Y38" s="14" t="str">
        <x:v>/goal implement the cutting edge UI rich with graphics and easy to understand</x:v>
      </x:c>
    </x:row>
    <x:row r="39">
      <x:c r="A39" s="14" t="str">
        <x:v>CLOUD-006</x:v>
      </x:c>
      <x:c r="B39" s="14" t="str">
        <x:v>TripCode resolve</x:v>
      </x:c>
      <x:c r="C39" s="14" t="str">
        <x:v>Cloud Run Web UI / Research</x:v>
      </x:c>
      <x:c r="D39" s="14" t="str">
        <x:v>cmd/server/demo_ui.go; cmd/server/demo_ui_test.go</x:v>
      </x:c>
      <x:c r="E39" s="14" t="str">
        <x:v>/demo/run Resolve</x:v>
      </x:c>
      <x:c r="F39" s="14" t="str">
        <x:v>Financial researcher</x:v>
      </x:c>
      <x:c r="G39" s="14" t="str">
        <x:v>As a researcher, I want to resolve a HUT TripCode so that I can inspect article memory, River continuity, and evidence boundaries.</x:v>
      </x:c>
      <x:c r="H39" s="14" t="str">
        <x:v>Resolve sends encoded TripCode/session/issuer options, displays request trace and result, preserves missing/live errors, and never fabricates evidence.</x:v>
      </x:c>
      <x:c r="I39" s="14" t="str">
        <x:v>Observed behavior matched the tracker-backed expectation in the discovery test pass.</x:v>
      </x:c>
      <x:c r="J39" s="14" t="str">
        <x:v>Verified</x:v>
      </x:c>
      <x:c r="K39" s="14" t="str">
        <x:v>Automated Test</x:v>
      </x:c>
      <x:c r="L39" s="14" t="str">
        <x:v>Intercept Resolve request; verify query; test success, 4xx, malformed JSON, and network failure; inspect rich and JSON output.</x:v>
      </x:c>
      <x:c r="M39" s="14" t="str">
        <x:v>PASS — qa_evidence/logs/go-test-all.log; qa_evidence/logs/feature_ui_audit.json</x:v>
      </x:c>
      <x:c r="N39" s="14" t="str"/>
      <x:c r="O39" s="14" t="str"/>
      <x:c r="P39" s="14" t="str">
        <x:v>No</x:v>
      </x:c>
      <x:c r="Q39" s="14" t="str"/>
      <x:c r="R39" s="14" t="str"/>
      <x:c r="S39" s="14" t="str"/>
      <x:c r="T39" s="14" t="str"/>
      <x:c r="U39" s="14" t="str">
        <x:v>Not required in discovery pass.</x:v>
      </x:c>
      <x:c r="V39" s="14" t="str">
        <x:v>Verified</x:v>
      </x:c>
      <x:c r="W39" s="14" t="str">
        <x:v>No</x:v>
      </x:c>
      <x:c r="X39" s="14" t="str">
        <x:v>Discovery evidence: qa_evidence/logs/go-test-all.log; qa_evidence/logs/feature_ui_audit.json</x:v>
      </x:c>
      <x:c r="Y39" s="14" t="str">
        <x:v>/goal implement the cutting edge UI rich with graphics and easy to understand</x:v>
      </x:c>
    </x:row>
    <x:row r="40">
      <x:c r="A40" s="14" t="str">
        <x:v>CLOUD-007</x:v>
      </x:c>
      <x:c r="B40" s="14" t="str">
        <x:v>A2A resolve and monitor</x:v>
      </x:c>
      <x:c r="C40" s="14" t="str">
        <x:v>Cloud Run Web UI / A2A</x:v>
      </x:c>
      <x:c r="D40" s="14" t="str">
        <x:v>cmd/server/demo_ui.go; cmd/server/demo_ui_test.go</x:v>
      </x:c>
      <x:c r="E40" s="14" t="str">
        <x:v>/demo/run A2A and Monitor</x:v>
      </x:c>
      <x:c r="F40" s="14" t="str">
        <x:v>Agent integrator</x:v>
      </x:c>
      <x:c r="G40" s="14" t="str">
        <x:v>As an agent integrator, I want A2A resolve and monitor controls so that I can invoke discoverable research skills and inspect task packets.</x:v>
      </x:c>
      <x:c r="H40" s="14" t="str">
        <x:v>JSON-RPC requests contain correct methods, message text, and session metadata; result and error packets remain inspectable.</x:v>
      </x:c>
      <x:c r="I40" s="14" t="str">
        <x:v>Observed behavior matched the tracker-backed expectation in the discovery test pass.</x:v>
      </x:c>
      <x:c r="J40" s="14" t="str">
        <x:v>Verified</x:v>
      </x:c>
      <x:c r="K40" s="14" t="str">
        <x:v>Automated Test</x:v>
      </x:c>
      <x:c r="L40" s="14" t="str">
        <x:v>Intercept A2A and Monitor POST bodies; verify JSON-RPC shape; test success/error; inspect displayed task status and provenance.</x:v>
      </x:c>
      <x:c r="M40" s="14" t="str">
        <x:v>PASS — qa_evidence/logs/go-test-all.log; qa_evidence/logs/feature_ui_audit.json</x:v>
      </x:c>
      <x:c r="N40" s="14" t="str"/>
      <x:c r="O40" s="14" t="str"/>
      <x:c r="P40" s="14" t="str">
        <x:v>No</x:v>
      </x:c>
      <x:c r="Q40" s="14" t="str"/>
      <x:c r="R40" s="14" t="str"/>
      <x:c r="S40" s="14" t="str"/>
      <x:c r="T40" s="14" t="str"/>
      <x:c r="U40" s="14" t="str">
        <x:v>Not required in discovery pass.</x:v>
      </x:c>
      <x:c r="V40" s="14" t="str">
        <x:v>Verified</x:v>
      </x:c>
      <x:c r="W40" s="14" t="str">
        <x:v>No</x:v>
      </x:c>
      <x:c r="X40" s="14" t="str">
        <x:v>Discovery evidence: qa_evidence/logs/go-test-all.log; qa_evidence/logs/feature_ui_audit.json</x:v>
      </x:c>
      <x:c r="Y40" s="14" t="str">
        <x:v>/goal implement the cutting edge UI rich with graphics and easy to understand</x:v>
      </x:c>
    </x:row>
    <x:row r="41">
      <x:c r="A41" s="14" t="str">
        <x:v>CLOUD-008</x:v>
      </x:c>
      <x:c r="B41" s="14" t="str">
        <x:v>Usage visibility</x:v>
      </x:c>
      <x:c r="C41" s="14" t="str">
        <x:v>Cloud Run Web UI / Usage</x:v>
      </x:c>
      <x:c r="D41" s="14" t="str">
        <x:v>cmd/server/demo_ui.go; cmd/server/demo_ui_test.go</x:v>
      </x:c>
      <x:c r="E41" s="14" t="str">
        <x:v>/demo/run Usage</x:v>
      </x:c>
      <x:c r="F41" s="14" t="str">
        <x:v>Demo operator</x:v>
      </x:c>
      <x:c r="G41" s="14" t="str">
        <x:v>As a demo operator, I want usage visibility so that I can inspect request accounting and cost metadata.</x:v>
      </x:c>
      <x:c r="H41" s="14" t="str">
        <x:v>Usage calls /v1/usage with authorization context and renders returned accounting without inventing billing data.</x:v>
      </x:c>
      <x:c r="I41" s="14" t="str">
        <x:v>Observed behavior matched the tracker-backed expectation in the discovery test pass.</x:v>
      </x:c>
      <x:c r="J41" s="14" t="str">
        <x:v>Verified</x:v>
      </x:c>
      <x:c r="K41" s="14" t="str">
        <x:v>Automated Test</x:v>
      </x:c>
      <x:c r="L41" s="14" t="str">
        <x:v>Activate Usage; intercept request; return fixture usage; verify labels and null/missing handling.</x:v>
      </x:c>
      <x:c r="M41" s="14" t="str">
        <x:v>PASS — qa_evidence/logs/go-test-all.log; qa_evidence/logs/feature_ui_audit.json</x:v>
      </x:c>
      <x:c r="N41" s="14" t="str"/>
      <x:c r="O41" s="14" t="str"/>
      <x:c r="P41" s="14" t="str">
        <x:v>No</x:v>
      </x:c>
      <x:c r="Q41" s="14" t="str"/>
      <x:c r="R41" s="14" t="str"/>
      <x:c r="S41" s="14" t="str"/>
      <x:c r="T41" s="14" t="str"/>
      <x:c r="U41" s="14" t="str">
        <x:v>Not required in discovery pass.</x:v>
      </x:c>
      <x:c r="V41" s="14" t="str">
        <x:v>Verified</x:v>
      </x:c>
      <x:c r="W41" s="14" t="str">
        <x:v>No</x:v>
      </x:c>
      <x:c r="X41" s="14" t="str">
        <x:v>Discovery evidence: qa_evidence/logs/go-test-all.log; qa_evidence/logs/feature_ui_audit.json</x:v>
      </x:c>
      <x:c r="Y41" s="14" t="str">
        <x:v>/goal implement the cutting edge UI rich with graphics and easy to understand</x:v>
      </x:c>
    </x:row>
    <x:row r="42">
      <x:c r="A42" s="14" t="str">
        <x:v>CLOUD-009</x:v>
      </x:c>
      <x:c r="B42" s="14" t="str">
        <x:v>Response navigation and render modes</x:v>
      </x:c>
      <x:c r="C42" s="14" t="str">
        <x:v>Cloud Run Web UI / Response tools</x:v>
      </x:c>
      <x:c r="D42" s="14" t="str">
        <x:v>cmd/server/demo_ui.go; cmd/server/demo_ui_test.go</x:v>
      </x:c>
      <x:c r="E42" s="14" t="str">
        <x:v>/demo/run response controls</x:v>
      </x:c>
      <x:c r="F42" s="14" t="str">
        <x:v>Demo viewer</x:v>
      </x:c>
      <x:c r="G42" s="14" t="str">
        <x:v>As a demo viewer, I want Top, Scroll, End, Render, and JSON controls so that I can inspect long responses in useful forms.</x:v>
      </x:c>
      <x:c r="H42" s="14" t="str">
        <x:v>Navigation moves the response viewport; Render and JSON switch representations without losing the preserved raw packet.</x:v>
      </x:c>
      <x:c r="I42" s="14" t="str">
        <x:v>Observed behavior matched the tracker-backed expectation in the discovery test pass.</x:v>
      </x:c>
      <x:c r="J42" s="14" t="str">
        <x:v>Verified</x:v>
      </x:c>
      <x:c r="K42" s="14" t="str">
        <x:v>Automated Test</x:v>
      </x:c>
      <x:c r="L42" s="14" t="str">
        <x:v>Load long fixture; activate navigation controls; inspect scroll positions; toggle rich/JSON twice; verify content preservation and active state.</x:v>
      </x:c>
      <x:c r="M42" s="14" t="str">
        <x:v>PASS — qa_evidence/logs/go-test-all.log; qa_evidence/logs/feature_ui_audit.json</x:v>
      </x:c>
      <x:c r="N42" s="14" t="str"/>
      <x:c r="O42" s="14" t="str"/>
      <x:c r="P42" s="14" t="str">
        <x:v>No</x:v>
      </x:c>
      <x:c r="Q42" s="14" t="str"/>
      <x:c r="R42" s="14" t="str"/>
      <x:c r="S42" s="14" t="str"/>
      <x:c r="T42" s="14" t="str"/>
      <x:c r="U42" s="14" t="str">
        <x:v>Not required in discovery pass.</x:v>
      </x:c>
      <x:c r="V42" s="14" t="str">
        <x:v>Verified</x:v>
      </x:c>
      <x:c r="W42" s="14" t="str">
        <x:v>No</x:v>
      </x:c>
      <x:c r="X42" s="14" t="str">
        <x:v>Discovery evidence: qa_evidence/logs/go-test-all.log; qa_evidence/logs/feature_ui_audit.json</x:v>
      </x:c>
      <x:c r="Y42" s="14" t="str">
        <x:v>/goal implement the cutting edge UI rich with graphics and easy to understand</x:v>
      </x:c>
    </x:row>
    <x:row r="43">
      <x:c r="A43" s="14" t="str">
        <x:v>CLOUD-010</x:v>
      </x:c>
      <x:c r="B43" s="14" t="str">
        <x:v>Automated two-minute sequence</x:v>
      </x:c>
      <x:c r="C43" s="14" t="str">
        <x:v>Cloud Run Web UI / Demo automation</x:v>
      </x:c>
      <x:c r="D43" s="14" t="str">
        <x:v>cmd/server/demo_ui.go; cmd/server/demo_ui_test.go</x:v>
      </x:c>
      <x:c r="E43" s="14" t="str">
        <x:v>/demo/run?autoplay=1</x:v>
      </x:c>
      <x:c r="F43" s="14" t="str">
        <x:v>Presenter</x:v>
      </x:c>
      <x:c r="G43" s="14" t="str">
        <x:v>As a presenter, I want an automated two-minute sequence so that I can demonstrate the complete workflow consistently.</x:v>
      </x:c>
      <x:c r="H43" s="14" t="str">
        <x:v>Autoplay activates the intended ordered controls, exposes explanatory captions, supports interruption, and does not send uncontrolled payments.</x:v>
      </x:c>
      <x:c r="I43" s="14" t="str">
        <x:v>Observed behavior matched the tracker-backed expectation in the discovery test pass.</x:v>
      </x:c>
      <x:c r="J43" s="14" t="str">
        <x:v>Verified</x:v>
      </x:c>
      <x:c r="K43" s="14" t="str">
        <x:v>Automated Test</x:v>
      </x:c>
      <x:c r="L43" s="14" t="str">
        <x:v>Load autoplay query with mocked fetch; record action order/timing/captions; interrupt; assert no payment or destructive calls.</x:v>
      </x:c>
      <x:c r="M43" s="14" t="str">
        <x:v>PASS — qa_evidence/logs/go-test-all.log; qa_evidence/logs/feature_ui_audit.json</x:v>
      </x:c>
      <x:c r="N43" s="14" t="str"/>
      <x:c r="O43" s="14" t="str"/>
      <x:c r="P43" s="14" t="str">
        <x:v>No</x:v>
      </x:c>
      <x:c r="Q43" s="14" t="str"/>
      <x:c r="R43" s="14" t="str"/>
      <x:c r="S43" s="14" t="str"/>
      <x:c r="T43" s="14" t="str"/>
      <x:c r="U43" s="14" t="str">
        <x:v>Not required in discovery pass.</x:v>
      </x:c>
      <x:c r="V43" s="14" t="str">
        <x:v>Verified</x:v>
      </x:c>
      <x:c r="W43" s="14" t="str">
        <x:v>No</x:v>
      </x:c>
      <x:c r="X43" s="14" t="str">
        <x:v>Discovery evidence: qa_evidence/logs/go-test-all.log; qa_evidence/logs/feature_ui_audit.json</x:v>
      </x:c>
      <x:c r="Y43" s="14" t="str">
        <x:v>/goal implement the cutting edge UI rich with graphics and easy to understand</x:v>
      </x:c>
    </x:row>
    <x:row r="44">
      <x:c r="A44" s="14" t="str">
        <x:v>CLOUD-011</x:v>
      </x:c>
      <x:c r="B44" s="14" t="str">
        <x:v>Cloud demo access and failure states</x:v>
      </x:c>
      <x:c r="C44" s="14" t="str">
        <x:v>Cloud Run Web UI / Errors</x:v>
      </x:c>
      <x:c r="D44" s="14" t="str">
        <x:v>cmd/server/demo_ui.go; cmd/server/demo_ui_test.go</x:v>
      </x:c>
      <x:c r="E44" s="14" t="str">
        <x:v>/demo/run protected requests</x:v>
      </x:c>
      <x:c r="F44" s="14" t="str">
        <x:v>Demo viewer</x:v>
      </x:c>
      <x:c r="G44" s="14" t="str">
        <x:v>As a demo viewer, I want clear access and failure states so that I know whether a request needs authorization, payment, or retry.</x:v>
      </x:c>
      <x:c r="H44" s="14" t="str">
        <x:v>401/402/403/404/500/network failures are labeled distinctly, preserve returned details, and never present fallback data as live evidence.</x:v>
      </x:c>
      <x:c r="I44" s="14" t="str">
        <x:v>Observed behavior matched the tracker-backed expectation in the discovery test pass.</x:v>
      </x:c>
      <x:c r="J44" s="14" t="str">
        <x:v>Verified</x:v>
      </x:c>
      <x:c r="K44" s="14" t="str">
        <x:v>Automated Test</x:v>
      </x:c>
      <x:c r="L44" s="14" t="str">
        <x:v>Mock each status and network failure for Resolve/A2A/Usage; inspect title, body, provenance, retry affordance, and absence of false success.</x:v>
      </x:c>
      <x:c r="M44" s="14" t="str">
        <x:v>PASS — qa_evidence/logs/go-test-all.log; qa_evidence/logs/feature_ui_audit.json</x:v>
      </x:c>
      <x:c r="N44" s="14" t="str"/>
      <x:c r="O44" s="14" t="str"/>
      <x:c r="P44" s="14" t="str">
        <x:v>No</x:v>
      </x:c>
      <x:c r="Q44" s="14" t="str"/>
      <x:c r="R44" s="14" t="str"/>
      <x:c r="S44" s="14" t="str"/>
      <x:c r="T44" s="14" t="str"/>
      <x:c r="U44" s="14" t="str">
        <x:v>Not required in discovery pass.</x:v>
      </x:c>
      <x:c r="V44" s="14" t="str">
        <x:v>Verified</x:v>
      </x:c>
      <x:c r="W44" s="14" t="str">
        <x:v>No</x:v>
      </x:c>
      <x:c r="X44" s="14" t="str">
        <x:v>Discovery evidence: qa_evidence/logs/go-test-all.log; qa_evidence/logs/feature_ui_audit.json</x:v>
      </x:c>
      <x:c r="Y44" s="14" t="str">
        <x:v>/goal implement the cutting edge UI rich with graphics and easy to understand</x:v>
      </x:c>
    </x:row>
    <x:row r="45">
      <x:c r="A45" s="14" t="str">
        <x:v>CLOUD-012</x:v>
      </x:c>
      <x:c r="B45" s="14" t="str">
        <x:v>Cloud web UI responsive accessibility</x:v>
      </x:c>
      <x:c r="C45" s="14" t="str">
        <x:v>Cloud Run Web UI / Cross-cutting</x:v>
      </x:c>
      <x:c r="D45" s="14" t="str">
        <x:v>cmd/server/demo_ui.go; cmd/server/demo_ui_test.go</x:v>
      </x:c>
      <x:c r="E45" s="14" t="str">
        <x:v>/, /demo, /demo/run</x:v>
      </x:c>
      <x:c r="F45" s="14" t="str">
        <x:v>All visitors</x:v>
      </x:c>
      <x:c r="G45" s="14" t="str">
        <x:v>As a visitor, I want the Cloud Run pages to work on mobile, keyboard, and assistive technology so that I can inspect the demo reliably.</x:v>
      </x:c>
      <x:c r="H45" s="14" t="str">
        <x:v>Pages have landmarks, labels, visible focus, sufficient contrast, no horizontal overflow, and motion-safe behavior.</x:v>
      </x:c>
      <x:c r="I45" s="14" t="str">
        <x:v>Mobile CSS now removes fixed-width constraints, uses minmax grid tracks, contains decorative overflow, and stacks operator fields.</x:v>
      </x:c>
      <x:c r="J45" s="14" t="str">
        <x:v>Fixed</x:v>
      </x:c>
      <x:c r="K45" s="14" t="str">
        <x:v>Manual UI</x:v>
      </x:c>
      <x:c r="L45" s="14" t="str">
        <x:v>Run local server; test three routes at desktop/mobile; keyboard through controls; Lighthouse snapshot; reduced-motion inspection.</x:v>
      </x:c>
      <x:c r="M45" s="14" t="str">
        <x:v>FAIL — qa_evidence/screenshots/cloud-run-390x844.png | FIX VERIFIED</x:v>
      </x:c>
      <x:c r="N45" s="14" t="str">
        <x:v>The /demo/run interface is wider than the 390px viewport while horizontal overflow is suppressed, clipping headings, explanatory copy, inputs, and controls.</x:v>
      </x:c>
      <x:c r="O45" s="14" t="str">
        <x:v>Critical</x:v>
      </x:c>
      <x:c r="P45" s="14" t="str">
        <x:v>Yes</x:v>
      </x:c>
      <x:c r="Q45" s="14" t="str">
        <x:v>Mobile CSS now removes fixed-width constraints, uses minmax grid tracks, contains decorative overflow, and stacks operator fields.</x:v>
      </x:c>
      <x:c r="R45" s="14" t="str">
        <x:v>cmd/server/demo_ui.go; cmd/server/demo_ui_test.go</x:v>
      </x:c>
      <x:c r="S45" s="14" t="str">
        <x:v>4883949</x:v>
      </x:c>
      <x:c r="T45" s="14" t="str">
        <x:v>Run local server; test three routes at desktop/mobile; keyboard through controls; Lighthouse snapshot; reduced-motion inspection.</x:v>
      </x:c>
      <x:c r="U45" s="14" t="str">
        <x:v>PASS — 390px viewport has innerWidth=390, document/body scrollWidth=390, and an uncropped full-page screenshot.</x:v>
      </x:c>
      <x:c r="V45" s="14" t="str">
        <x:v>Verified</x:v>
      </x:c>
      <x:c r="W45" s="14" t="str">
        <x:v>No</x:v>
      </x:c>
      <x:c r="X45" s="14" t="str">
        <x:v>Pre-fix discovery evidence: qa_evidence/screenshots/cloud-run-390x844.png | Retest evidence: qa_evidence/screenshots/retest-cloud-run-390x844.png; qa_evidence/logs/retest-go-server.log | Stable pre-fix finding: qa_evidence/logs/discovery_findings.json</x:v>
      </x:c>
      <x:c r="Y45" s="14" t="str">
        <x:v>/goal implement the cutting edge UI rich with graphics and easy to understand</x:v>
      </x:c>
    </x:row>
    <x:row r="46">
      <x:c r="A46" s="14" t="str">
        <x:v>API-001</x:v>
      </x:c>
      <x:c r="B46" s="14" t="str">
        <x:v>Service readiness</x:v>
      </x:c>
      <x:c r="C46" s="14" t="str">
        <x:v>Public API / Health</x:v>
      </x:c>
      <x:c r="D46" s="14" t="str">
        <x:v>cmd/server/main.go; cmd/server/main_test.go</x:v>
      </x:c>
      <x:c r="E46" s="14" t="str">
        <x:v>GET /health and /healthz</x:v>
      </x:c>
      <x:c r="F46" s="14" t="str">
        <x:v>Agent integrator</x:v>
      </x:c>
      <x:c r="G46" s="14" t="str">
        <x:v>As an integrator, I want a readiness response so that I can determine whether the service is available before invoking research.</x:v>
      </x:c>
      <x:c r="H46" s="14" t="str">
        <x:v>Both routes return bounded JSON readiness with correct status and no secret leakage.</x:v>
      </x:c>
      <x:c r="I46" s="14" t="str">
        <x:v>Observed behavior matched the tracker-backed expectation in the discovery test pass.</x:v>
      </x:c>
      <x:c r="J46" s="14" t="str">
        <x:v>Verified</x:v>
      </x:c>
      <x:c r="K46" s="14" t="str">
        <x:v>Automated Test</x:v>
      </x:c>
      <x:c r="L46" s="14" t="str">
        <x:v>Run Go handler tests; call routes; validate status/content type/schema and secret absence.</x:v>
      </x:c>
      <x:c r="M46" s="14" t="str">
        <x:v>PASS — qa_evidence/logs/go-test-all.log</x:v>
      </x:c>
      <x:c r="N46" s="14" t="str"/>
      <x:c r="O46" s="14" t="str"/>
      <x:c r="P46" s="14" t="str">
        <x:v>No</x:v>
      </x:c>
      <x:c r="Q46" s="14" t="str"/>
      <x:c r="R46" s="14" t="str"/>
      <x:c r="S46" s="14" t="str"/>
      <x:c r="T46" s="14" t="str"/>
      <x:c r="U46" s="14" t="str">
        <x:v>Not required in discovery pass.</x:v>
      </x:c>
      <x:c r="V46" s="14" t="str">
        <x:v>Verified</x:v>
      </x:c>
      <x:c r="W46" s="14" t="str">
        <x:v>No</x:v>
      </x:c>
      <x:c r="X46" s="14" t="str">
        <x:v>Discovery evidence: qa_evidence/logs/go-test-all.log</x:v>
      </x:c>
      <x:c r="Y46" s="14" t="str">
        <x:v>/goal implement the cutting edge UI rich with graphics and easy to understand</x:v>
      </x:c>
    </x:row>
    <x:row r="47">
      <x:c r="A47" s="14" t="str">
        <x:v>API-002</x:v>
      </x:c>
      <x:c r="B47" s="14" t="str">
        <x:v>Agent Card discovery</x:v>
      </x:c>
      <x:c r="C47" s="14" t="str">
        <x:v>Public API / A2A</x:v>
      </x:c>
      <x:c r="D47" s="14" t="str">
        <x:v>cmd/server/a2a.go; cmd/server/a2a_test.go</x:v>
      </x:c>
      <x:c r="E47" s="14" t="str">
        <x:v>GET /.well-known/agent-card.json</x:v>
      </x:c>
      <x:c r="F47" s="14" t="str">
        <x:v>Agent integrator</x:v>
      </x:c>
      <x:c r="G47" s="14" t="str">
        <x:v>As an agent integrator, I want an Agent Card so that I can discover supported skills and invoke the correct A2A endpoint.</x:v>
      </x:c>
      <x:c r="H47" s="14" t="str">
        <x:v>Card returns protocol version, public URL, skills, security scheme, input/output modes, and evidence boundaries.</x:v>
      </x:c>
      <x:c r="I47" s="14" t="str">
        <x:v>Observed behavior matched the tracker-backed expectation in the discovery test pass.</x:v>
      </x:c>
      <x:c r="J47" s="14" t="str">
        <x:v>Verified</x:v>
      </x:c>
      <x:c r="K47" s="14" t="str">
        <x:v>Automated Test</x:v>
      </x:c>
      <x:c r="L47" s="14" t="str">
        <x:v>Run A2A tests; GET both card paths; validate schema fields, URLs, skills, and forwarded-host safety.</x:v>
      </x:c>
      <x:c r="M47" s="14" t="str">
        <x:v>PASS — qa_evidence/logs/go-test-all.log</x:v>
      </x:c>
      <x:c r="N47" s="14" t="str"/>
      <x:c r="O47" s="14" t="str"/>
      <x:c r="P47" s="14" t="str">
        <x:v>No</x:v>
      </x:c>
      <x:c r="Q47" s="14" t="str"/>
      <x:c r="R47" s="14" t="str"/>
      <x:c r="S47" s="14" t="str"/>
      <x:c r="T47" s="14" t="str"/>
      <x:c r="U47" s="14" t="str">
        <x:v>Not required in discovery pass.</x:v>
      </x:c>
      <x:c r="V47" s="14" t="str">
        <x:v>Verified</x:v>
      </x:c>
      <x:c r="W47" s="14" t="str">
        <x:v>No</x:v>
      </x:c>
      <x:c r="X47" s="14" t="str">
        <x:v>Discovery evidence: qa_evidence/logs/go-test-all.log</x:v>
      </x:c>
      <x:c r="Y47" s="14" t="str">
        <x:v>/goal implement the cutting edge UI rich with graphics and easy to understand</x:v>
      </x:c>
    </x:row>
    <x:row r="48">
      <x:c r="A48" s="14" t="str">
        <x:v>API-003</x:v>
      </x:c>
      <x:c r="B48" s="14" t="str">
        <x:v>Issuer action brief</x:v>
      </x:c>
      <x:c r="C48" s="14" t="str">
        <x:v>Public API / Brief</x:v>
      </x:c>
      <x:c r="D48" s="14" t="str">
        <x:v>cmd/server/main.go; cmd/server/main_test.go; internal/agent</x:v>
      </x:c>
      <x:c r="E48" s="14" t="str">
        <x:v>POST /v1/brief</x:v>
      </x:c>
      <x:c r="F48" s="14" t="str">
        <x:v>Financial analyst</x:v>
      </x:c>
      <x:c r="G48" s="14" t="str">
        <x:v>As an analyst, I want an issuer action brief so that I can identify evidence-backed diligence questions without receiving investment advice.</x:v>
      </x:c>
      <x:c r="H48" s="14" t="str">
        <x:v>Valid issuer request returns evidence-preserving brief; invalid JSON/issuer returns clear errors; provenance and non-advice boundary remain present.</x:v>
      </x:c>
      <x:c r="I48" s="14" t="str">
        <x:v>Observed behavior matched the tracker-backed expectation in the discovery test pass.</x:v>
      </x:c>
      <x:c r="J48" s="14" t="str">
        <x:v>Verified</x:v>
      </x:c>
      <x:c r="K48" s="14" t="str">
        <x:v>Automated Test</x:v>
      </x:c>
      <x:c r="L48" s="14" t="str">
        <x:v>Run handler and agent tests; submit valid/empty/malformed requests; validate statuses, evidence fields, caveats, and prohibited-language absence.</x:v>
      </x:c>
      <x:c r="M48" s="14" t="str">
        <x:v>PASS — qa_evidence/logs/go-test-all.log</x:v>
      </x:c>
      <x:c r="N48" s="14" t="str"/>
      <x:c r="O48" s="14" t="str"/>
      <x:c r="P48" s="14" t="str">
        <x:v>No</x:v>
      </x:c>
      <x:c r="Q48" s="14" t="str"/>
      <x:c r="R48" s="14" t="str"/>
      <x:c r="S48" s="14" t="str"/>
      <x:c r="T48" s="14" t="str"/>
      <x:c r="U48" s="14" t="str">
        <x:v>Not required in discovery pass.</x:v>
      </x:c>
      <x:c r="V48" s="14" t="str">
        <x:v>Verified</x:v>
      </x:c>
      <x:c r="W48" s="14" t="str">
        <x:v>No</x:v>
      </x:c>
      <x:c r="X48" s="14" t="str">
        <x:v>Discovery evidence: qa_evidence/logs/go-test-all.log</x:v>
      </x:c>
      <x:c r="Y48" s="14" t="str">
        <x:v>/goal implement the cutting edge UI rich with graphics and easy to understand</x:v>
      </x:c>
    </x:row>
    <x:row r="49">
      <x:c r="A49" s="14" t="str">
        <x:v>API-004</x:v>
      </x:c>
      <x:c r="B49" s="14" t="str">
        <x:v>TripCode research memory</x:v>
      </x:c>
      <x:c r="C49" s="14" t="str">
        <x:v>Public API / TripCode</x:v>
      </x:c>
      <x:c r="D49" s="14" t="str">
        <x:v>cmd/server/main.go; cmd/server/main_test.go; internal/agent</x:v>
      </x:c>
      <x:c r="E49" s="14" t="str">
        <x:v>POST /v1/tripcode and GET/POST /resolve</x:v>
      </x:c>
      <x:c r="F49" s="14" t="str">
        <x:v>Subscriber researcher</x:v>
      </x:c>
      <x:c r="G49" s="14" t="str">
        <x:v>As a subscriber researcher, I want to resolve and continue a TripCode session so that I can compare thesis history and monitor changes.</x:v>
      </x:c>
      <x:c r="H49" s="14" t="str">
        <x:v>Resolve supports initial TripCode and follow-up session questions, preserves River/evidence/missingness, and handles unavailable public MCP honestly.</x:v>
      </x:c>
      <x:c r="I49" s="14" t="str">
        <x:v>Observed behavior matched the tracker-backed expectation in the discovery test pass.</x:v>
      </x:c>
      <x:c r="J49" s="14" t="str">
        <x:v>Verified</x:v>
      </x:c>
      <x:c r="K49" s="14" t="str">
        <x:v>Automated Test</x:v>
      </x:c>
      <x:c r="L49" s="14" t="str">
        <x:v>Run TripCode and resolve tests; exercise initial/follow-up/missing/malformed cases; verify session continuity and fallback disclosure.</x:v>
      </x:c>
      <x:c r="M49" s="14" t="str">
        <x:v>PASS — qa_evidence/logs/go-test-all.log</x:v>
      </x:c>
      <x:c r="N49" s="14" t="str"/>
      <x:c r="O49" s="14" t="str"/>
      <x:c r="P49" s="14" t="str">
        <x:v>No</x:v>
      </x:c>
      <x:c r="Q49" s="14" t="str"/>
      <x:c r="R49" s="14" t="str"/>
      <x:c r="S49" s="14" t="str"/>
      <x:c r="T49" s="14" t="str"/>
      <x:c r="U49" s="14" t="str">
        <x:v>Not required in discovery pass.</x:v>
      </x:c>
      <x:c r="V49" s="14" t="str">
        <x:v>Verified</x:v>
      </x:c>
      <x:c r="W49" s="14" t="str">
        <x:v>No</x:v>
      </x:c>
      <x:c r="X49" s="14" t="str">
        <x:v>Discovery evidence: qa_evidence/logs/go-test-all.log</x:v>
      </x:c>
      <x:c r="Y49" s="14" t="str">
        <x:v>/goal implement the cutting edge UI rich with graphics and easy to understand</x:v>
      </x:c>
    </x:row>
    <x:row r="50">
      <x:c r="A50" s="14" t="str">
        <x:v>API-005</x:v>
      </x:c>
      <x:c r="B50" s="14" t="str">
        <x:v>A2A message execution</x:v>
      </x:c>
      <x:c r="C50" s="14" t="str">
        <x:v>Public API / A2A</x:v>
      </x:c>
      <x:c r="D50" s="14" t="str">
        <x:v>cmd/server/a2a.go; cmd/server/a2a_test.go</x:v>
      </x:c>
      <x:c r="E50" s="14" t="str">
        <x:v>POST /a2a</x:v>
      </x:c>
      <x:c r="F50" s="14" t="str">
        <x:v>External agent</x:v>
      </x:c>
      <x:c r="G50" s="14" t="str">
        <x:v>As an external agent, I want to send a discoverable A2A message so that I can receive a structured research task result.</x:v>
      </x:c>
      <x:c r="H50" s="14" t="str">
        <x:v>Supported methods return JSON-RPC task packets; invalid methods/input/auth return protocol-correct errors without losing evidence boundaries.</x:v>
      </x:c>
      <x:c r="I50" s="14" t="str">
        <x:v>Observed behavior matched the tracker-backed expectation in the discovery test pass.</x:v>
      </x:c>
      <x:c r="J50" s="14" t="str">
        <x:v>Verified</x:v>
      </x:c>
      <x:c r="K50" s="14" t="str">
        <x:v>Automated Test</x:v>
      </x:c>
      <x:c r="L50" s="14" t="str">
        <x:v>Run A2A handler tests; send resolve/monitor/invalid requests; validate JSON-RPC IDs, statuses, artifacts, and errors.</x:v>
      </x:c>
      <x:c r="M50" s="14" t="str">
        <x:v>PASS — qa_evidence/logs/go-test-all.log</x:v>
      </x:c>
      <x:c r="N50" s="14" t="str"/>
      <x:c r="O50" s="14" t="str"/>
      <x:c r="P50" s="14" t="str">
        <x:v>No</x:v>
      </x:c>
      <x:c r="Q50" s="14" t="str"/>
      <x:c r="R50" s="14" t="str"/>
      <x:c r="S50" s="14" t="str"/>
      <x:c r="T50" s="14" t="str"/>
      <x:c r="U50" s="14" t="str">
        <x:v>Not required in discovery pass.</x:v>
      </x:c>
      <x:c r="V50" s="14" t="str">
        <x:v>Verified</x:v>
      </x:c>
      <x:c r="W50" s="14" t="str">
        <x:v>No</x:v>
      </x:c>
      <x:c r="X50" s="14" t="str">
        <x:v>Discovery evidence: qa_evidence/logs/go-test-all.log</x:v>
      </x:c>
      <x:c r="Y50" s="14" t="str">
        <x:v>/goal implement the cutting edge UI rich with graphics and easy to understand</x:v>
      </x:c>
    </x:row>
    <x:row r="51">
      <x:c r="A51" s="14" t="str">
        <x:v>API-006</x:v>
      </x:c>
      <x:c r="B51" s="14" t="str">
        <x:v>Scenario discovery and execution</x:v>
      </x:c>
      <x:c r="C51" s="14" t="str">
        <x:v>Public API / Scenarios</x:v>
      </x:c>
      <x:c r="D51" s="14" t="str">
        <x:v>cmd/server/scenario.go; cmd/server/scenario_test.go; internal/agent/scenario.go</x:v>
      </x:c>
      <x:c r="E51" s="14" t="str">
        <x:v>GET /v1/scenarios; POST /v1/scenarios/run</x:v>
      </x:c>
      <x:c r="F51" s="14" t="str">
        <x:v>Demo operator</x:v>
      </x:c>
      <x:c r="G51" s="14" t="str">
        <x:v>As a demo operator, I want discoverable scenarios so that I can run a deterministic end-to-end workflow.</x:v>
      </x:c>
      <x:c r="H51" s="14" t="str">
        <x:v>List returns available scenarios; run validates IDs/input, executes expected steps, preserves errors and provenance, and reports result state.</x:v>
      </x:c>
      <x:c r="I51" s="14" t="str">
        <x:v>Observed behavior matched the tracker-backed expectation in the discovery test pass.</x:v>
      </x:c>
      <x:c r="J51" s="14" t="str">
        <x:v>Verified</x:v>
      </x:c>
      <x:c r="K51" s="14" t="str">
        <x:v>Automated Test</x:v>
      </x:c>
      <x:c r="L51" s="14" t="str">
        <x:v>Run scenario tests; list; run valid/missing/malformed/failure scenarios; validate status and step outputs.</x:v>
      </x:c>
      <x:c r="M51" s="14" t="str">
        <x:v>PASS — qa_evidence/logs/go-test-all.log</x:v>
      </x:c>
      <x:c r="N51" s="14" t="str"/>
      <x:c r="O51" s="14" t="str"/>
      <x:c r="P51" s="14" t="str">
        <x:v>No</x:v>
      </x:c>
      <x:c r="Q51" s="14" t="str"/>
      <x:c r="R51" s="14" t="str"/>
      <x:c r="S51" s="14" t="str"/>
      <x:c r="T51" s="14" t="str"/>
      <x:c r="U51" s="14" t="str">
        <x:v>Not required in discovery pass.</x:v>
      </x:c>
      <x:c r="V51" s="14" t="str">
        <x:v>Verified</x:v>
      </x:c>
      <x:c r="W51" s="14" t="str">
        <x:v>No</x:v>
      </x:c>
      <x:c r="X51" s="14" t="str">
        <x:v>Discovery evidence: qa_evidence/logs/go-test-all.log</x:v>
      </x:c>
      <x:c r="Y51" s="14" t="str">
        <x:v>/goal implement the cutting edge UI rich with graphics and easy to understand</x:v>
      </x:c>
    </x:row>
    <x:row r="52">
      <x:c r="A52" s="14" t="str">
        <x:v>API-007</x:v>
      </x:c>
      <x:c r="B52" s="14" t="str">
        <x:v>Usage and cost metadata</x:v>
      </x:c>
      <x:c r="C52" s="14" t="str">
        <x:v>Public API / Usage</x:v>
      </x:c>
      <x:c r="D52" s="14" t="str">
        <x:v>cmd/server/main.go; cmd/server/main_test.go; internal/agent/cost_tracker.go</x:v>
      </x:c>
      <x:c r="E52" s="14" t="str">
        <x:v>GET /v1/usage</x:v>
      </x:c>
      <x:c r="F52" s="14" t="str">
        <x:v>Operator</x:v>
      </x:c>
      <x:c r="G52" s="14" t="str">
        <x:v>As an operator, I want usage metadata so that I can understand request and model-cost accounting.</x:v>
      </x:c>
      <x:c r="H52" s="14" t="str">
        <x:v>Authorized route reports recorded usage accurately, handles disabled/unauthorized state, and does not imply payment settlement.</x:v>
      </x:c>
      <x:c r="I52" s="14" t="str">
        <x:v>Observed behavior matched the tracker-backed expectation in the discovery test pass.</x:v>
      </x:c>
      <x:c r="J52" s="14" t="str">
        <x:v>Verified</x:v>
      </x:c>
      <x:c r="K52" s="14" t="str">
        <x:v>Automated Test</x:v>
      </x:c>
      <x:c r="L52" s="14" t="str">
        <x:v>Run cost/handler tests; test configured/unconfigured/unauthorized; compare totals with known fixture events.</x:v>
      </x:c>
      <x:c r="M52" s="14" t="str">
        <x:v>PASS — qa_evidence/logs/go-test-all.log</x:v>
      </x:c>
      <x:c r="N52" s="14" t="str"/>
      <x:c r="O52" s="14" t="str"/>
      <x:c r="P52" s="14" t="str">
        <x:v>No</x:v>
      </x:c>
      <x:c r="Q52" s="14" t="str"/>
      <x:c r="R52" s="14" t="str"/>
      <x:c r="S52" s="14" t="str"/>
      <x:c r="T52" s="14" t="str"/>
      <x:c r="U52" s="14" t="str">
        <x:v>Not required in discovery pass.</x:v>
      </x:c>
      <x:c r="V52" s="14" t="str">
        <x:v>Verified</x:v>
      </x:c>
      <x:c r="W52" s="14" t="str">
        <x:v>No</x:v>
      </x:c>
      <x:c r="X52" s="14" t="str">
        <x:v>Discovery evidence: qa_evidence/logs/go-test-all.log</x:v>
      </x:c>
      <x:c r="Y52" s="14" t="str">
        <x:v>/goal implement the cutting edge UI rich with graphics and easy to understand</x:v>
      </x:c>
    </x:row>
    <x:row r="53">
      <x:c r="A53" s="14" t="str">
        <x:v>API-008</x:v>
      </x:c>
      <x:c r="B53" s="14" t="str">
        <x:v>Product-loop workflow</x:v>
      </x:c>
      <x:c r="C53" s="14" t="str">
        <x:v>Public API / Product Loop</x:v>
      </x:c>
      <x:c r="D53" s="14" t="str">
        <x:v>cmd/server/main.go; cmd/server/main_test.go; internal/agent/product_loop.go</x:v>
      </x:c>
      <x:c r="E53" s="14" t="str">
        <x:v>POST /v1/product-loop</x:v>
      </x:c>
      <x:c r="F53" s="14" t="str">
        <x:v>Agent workflow operator</x:v>
      </x:c>
      <x:c r="G53" s="14" t="str">
        <x:v>As an operator, I want a governed product loop so that builders and reviewers can execute a bounded implementation workflow.</x:v>
      </x:c>
      <x:c r="H53" s="14" t="str">
        <x:v>Request validates objective/workflow/risk, returns structured plan/results, preserves approval boundaries, and surfaces failures.</x:v>
      </x:c>
      <x:c r="I53" s="14" t="str">
        <x:v>Observed behavior matched the tracker-backed expectation in the discovery test pass.</x:v>
      </x:c>
      <x:c r="J53" s="14" t="str">
        <x:v>Verified</x:v>
      </x:c>
      <x:c r="K53" s="14" t="str">
        <x:v>Automated Test</x:v>
      </x:c>
      <x:c r="L53" s="14" t="str">
        <x:v>Run product-loop tests; submit valid/empty/malformed/high-risk requests; inspect response stages, approvals, and errors.</x:v>
      </x:c>
      <x:c r="M53" s="14" t="str">
        <x:v>PASS — qa_evidence/logs/go-test-all.log</x:v>
      </x:c>
      <x:c r="N53" s="14" t="str"/>
      <x:c r="O53" s="14" t="str"/>
      <x:c r="P53" s="14" t="str">
        <x:v>No</x:v>
      </x:c>
      <x:c r="Q53" s="14" t="str"/>
      <x:c r="R53" s="14" t="str"/>
      <x:c r="S53" s="14" t="str"/>
      <x:c r="T53" s="14" t="str"/>
      <x:c r="U53" s="14" t="str">
        <x:v>Not required in discovery pass.</x:v>
      </x:c>
      <x:c r="V53" s="14" t="str">
        <x:v>Verified</x:v>
      </x:c>
      <x:c r="W53" s="14" t="str">
        <x:v>No</x:v>
      </x:c>
      <x:c r="X53" s="14" t="str">
        <x:v>Discovery evidence: qa_evidence/logs/go-test-all.log</x:v>
      </x:c>
      <x:c r="Y53" s="14" t="str">
        <x:v>/goal implement the cutting edge UI rich with graphics and easy to understand</x:v>
      </x:c>
    </x:row>
    <x:row r="54">
      <x:c r="A54" s="14" t="str">
        <x:v>DOC-001</x:v>
      </x:c>
      <x:c r="B54" s="14" t="str">
        <x:v>Architecture visual specification</x:v>
      </x:c>
      <x:c r="C54" s="14" t="str">
        <x:v>Documentation</x:v>
      </x:c>
      <x:c r="D54" s="14" t="str">
        <x:v>docs/DeltaSignal_Daily_Backend_to_Google_Agents_Architecture_2026_08_06.html</x:v>
      </x:c>
      <x:c r="E54" s="14" t="str">
        <x:v>Architecture link</x:v>
      </x:c>
      <x:c r="F54" s="14" t="str">
        <x:v>Technical evaluator</x:v>
      </x:c>
      <x:c r="G54" s="14" t="str">
        <x:v>As a technical evaluator, I want a detailed visual architecture so that I can inspect daily ingestion, MCP routing, agents, and boundaries.</x:v>
      </x:c>
      <x:c r="H54" s="14" t="str">
        <x:v>Self-contained visual loads without clipping, has readable labels, embedded contract, source boundaries, and links back to relevant product context.</x:v>
      </x:c>
      <x:c r="I54" s="14" t="str">
        <x:v>Observed behavior matched the tracker-backed expectation in the discovery test pass.</x:v>
      </x:c>
      <x:c r="J54" s="14" t="str">
        <x:v>Verified</x:v>
      </x:c>
      <x:c r="K54" s="14" t="str">
        <x:v>Manual UI</x:v>
      </x:c>
      <x:c r="L54" s="14" t="str">
        <x:v>Open document desktop/mobile; inspect diagram fit, typography, contract presence, and no horizontal clipping; Lighthouse snapshot.</x:v>
      </x:c>
      <x:c r="M54" s="14" t="str">
        <x:v>PASS — qa_evidence/logs/feature_ui_audit.json</x:v>
      </x:c>
      <x:c r="N54" s="14" t="str"/>
      <x:c r="O54" s="14" t="str"/>
      <x:c r="P54" s="14" t="str">
        <x:v>No</x:v>
      </x:c>
      <x:c r="Q54" s="14" t="str"/>
      <x:c r="R54" s="14" t="str"/>
      <x:c r="S54" s="14" t="str"/>
      <x:c r="T54" s="14" t="str"/>
      <x:c r="U54" s="14" t="str">
        <x:v>Not required in discovery pass.</x:v>
      </x:c>
      <x:c r="V54" s="14" t="str">
        <x:v>Verified</x:v>
      </x:c>
      <x:c r="W54" s="14" t="str">
        <x:v>No</x:v>
      </x:c>
      <x:c r="X54" s="14" t="str">
        <x:v>Discovery evidence: qa_evidence/logs/feature_ui_audit.json</x:v>
      </x:c>
      <x:c r="Y54" s="14" t="str">
        <x:v>/goal implement the cutting edge UI rich with graphics and easy to understand</x:v>
      </x:c>
    </x:row>
    <x:row r="55">
      <x:c r="A55" s="14" t="str">
        <x:v>DOC-002</x:v>
      </x:c>
      <x:c r="B55" s="14" t="str">
        <x:v>Three-minute video scenario</x:v>
      </x:c>
      <x:c r="C55" s="14" t="str">
        <x:v>Documentation</x:v>
      </x:c>
      <x:c r="D55" s="14" t="str">
        <x:v>docs/Google_Cloud_AAPL_MCP_Three_Minute_Video_Scenario_2026_08_06.html</x:v>
      </x:c>
      <x:c r="E55" s="14" t="str">
        <x:v>Recording plan link</x:v>
      </x:c>
      <x:c r="F55" s="14" t="str">
        <x:v>Content producer</x:v>
      </x:c>
      <x:c r="G55" s="14" t="str">
        <x:v>As a content producer, I want a timed recording plan so that I can demonstrate the AAPL workflow accurately in three minutes.</x:v>
      </x:c>
      <x:c r="H55" s="14" t="str">
        <x:v>Scenario has ordered timing, narration, on-screen actions, evidence boundaries, and valid demo links.</x:v>
      </x:c>
      <x:c r="I55" s="14" t="str">
        <x:v>Observed behavior matched the tracker-backed expectation in the discovery test pass.</x:v>
      </x:c>
      <x:c r="J55" s="14" t="str">
        <x:v>Verified</x:v>
      </x:c>
      <x:c r="K55" s="14" t="str">
        <x:v>Code Review</x:v>
      </x:c>
      <x:c r="L55" s="14" t="str">
        <x:v>Inspect sections, timing totals, links, and consistency with current UI; verify no obsolete competition-only framing.</x:v>
      </x:c>
      <x:c r="M55" s="14" t="str">
        <x:v>PASS — qa_evidence/logs/feature_ui_audit.json</x:v>
      </x:c>
      <x:c r="N55" s="14" t="str"/>
      <x:c r="O55" s="14" t="str"/>
      <x:c r="P55" s="14" t="str">
        <x:v>No</x:v>
      </x:c>
      <x:c r="Q55" s="14" t="str"/>
      <x:c r="R55" s="14" t="str"/>
      <x:c r="S55" s="14" t="str"/>
      <x:c r="T55" s="14" t="str"/>
      <x:c r="U55" s="14" t="str">
        <x:v>Not required in discovery pass.</x:v>
      </x:c>
      <x:c r="V55" s="14" t="str">
        <x:v>Verified</x:v>
      </x:c>
      <x:c r="W55" s="14" t="str">
        <x:v>No</x:v>
      </x:c>
      <x:c r="X55" s="14" t="str">
        <x:v>Discovery evidence: qa_evidence/logs/feature_ui_audit.json</x:v>
      </x:c>
      <x:c r="Y55" s="14" t="str">
        <x:v>/goal implement the cutting edge UI rich with graphics and easy to understand</x:v>
      </x:c>
    </x:row>
    <x:row r="56">
      <x:c r="A56" s="14" t="str">
        <x:v>DOC-003</x:v>
      </x:c>
      <x:c r="B56" s="14" t="str">
        <x:v>Comprehension audit receipt</x:v>
      </x:c>
      <x:c r="C56" s="14" t="str">
        <x:v>Documentation</x:v>
      </x:c>
      <x:c r="D56" s="14" t="str">
        <x:v>docs/DeltaSignal_First_10_Seconds_Comprehension_Audit_2026_08_07.html</x:v>
      </x:c>
      <x:c r="E56" s="14" t="str">
        <x:v>Footer audit link</x:v>
      </x:c>
      <x:c r="F56" s="14" t="str">
        <x:v>Prospective buyer</x:v>
      </x:c>
      <x:c r="G56" s="14" t="str">
        <x:v>As a prospective buyer, I want to inspect the comprehension audit so that I can see what was tested and the limits of the 100% result.</x:v>
      </x:c>
      <x:c r="H56" s="14" t="str">
        <x:v>Audit clearly labels simulation boundary, three rounds, persona scores, fixes, runtime receipt, and embedded XML; scores are not presented as human research.</x:v>
      </x:c>
      <x:c r="I56" s="14" t="str">
        <x:v>Observed behavior matched the tracker-backed expectation in the discovery test pass.</x:v>
      </x:c>
      <x:c r="J56" s="14" t="str">
        <x:v>Verified</x:v>
      </x:c>
      <x:c r="K56" s="14" t="str">
        <x:v>Automated UI</x:v>
      </x:c>
      <x:c r="L56" s="14" t="str">
        <x:v>Load document; assert key boundary/result/provenance text; inspect responsive layout; Lighthouse accessibility/best-practices.</x:v>
      </x:c>
      <x:c r="M56" s="14" t="str">
        <x:v>PASS — qa_evidence/logs/feature_ui_audit.json</x:v>
      </x:c>
      <x:c r="N56" s="14" t="str"/>
      <x:c r="O56" s="14" t="str"/>
      <x:c r="P56" s="14" t="str">
        <x:v>No</x:v>
      </x:c>
      <x:c r="Q56" s="14" t="str"/>
      <x:c r="R56" s="14" t="str"/>
      <x:c r="S56" s="14" t="str"/>
      <x:c r="T56" s="14" t="str"/>
      <x:c r="U56" s="14" t="str">
        <x:v>Not required in discovery pass.</x:v>
      </x:c>
      <x:c r="V56" s="14" t="str">
        <x:v>Verified</x:v>
      </x:c>
      <x:c r="W56" s="14" t="str">
        <x:v>No</x:v>
      </x:c>
      <x:c r="X56" s="14" t="str">
        <x:v>Discovery evidence: qa_evidence/logs/feature_ui_audit.json</x:v>
      </x:c>
      <x:c r="Y56" s="14" t="str">
        <x:v>/goal implement the cutting edge UI rich with graphics and easy to understand</x:v>
      </x:c>
    </x:row>
    <x:row r="57">
      <x:c r="A57" s="14" t="str">
        <x:v>WEB-018</x:v>
      </x:c>
      <x:c r="B57" s="14" t="str">
        <x:v>Top-level project description</x:v>
      </x:c>
      <x:c r="C57" s="14" t="str">
        <x:v>Landing / Hero</x:v>
      </x:c>
      <x:c r="D57" s="14" t="str">
        <x:v>index.html; tests/landing-page.mjs</x:v>
      </x:c>
      <x:c r="E57" s="14" t="str">
        <x:v>/ first viewport</x:v>
      </x:c>
      <x:c r="F57" s="14" t="str">
        <x:v>First-time visitor</x:v>
      </x:c>
      <x:c r="G57" s="14" t="str">
        <x:v>As a first-time visitor, I want a plain-language project description at the top so that I immediately understand what DeltaSignal is, what evidence it uses, and who it serves.</x:v>
      </x:c>
      <x:c r="H57" s="14" t="str">
        <x:v>A visible description above the Apple reference identifies DeltaSignal as a governed financial-evidence operating system that turns dated filings and market data into provenance-rich research packets for AI agents and human analysts.</x:v>
      </x:c>
      <x:c r="I57" s="14" t="str">
        <x:v>The project description is visible above the Apple case, uses concise plain language, and remains readable on desktop and mobile.</x:v>
      </x:c>
      <x:c r="J57" s="14" t="str">
        <x:v>Verified</x:v>
      </x:c>
      <x:c r="K57" s="14" t="str">
        <x:v>Automated UI</x:v>
      </x:c>
      <x:c r="L57" s="14" t="str">
        <x:v>Load /; inspect the first viewport; assert the four defining phrases; verify visibility; rerun desktop and mobile landing tests.</x:v>
      </x:c>
      <x:c r="M57" s="14" t="str">
        <x:v>PASS — qa_evidence/logs/project-description-test.log</x:v>
      </x:c>
      <x:c r="N57" s="14" t="str"/>
      <x:c r="O57" s="14" t="str"/>
      <x:c r="P57" s="14" t="str">
        <x:v>No</x:v>
      </x:c>
      <x:c r="Q57" s="14" t="str"/>
      <x:c r="R57" s="14" t="str">
        <x:v>index.html; tests/landing-page.mjs; CHANGELOG.html</x:v>
      </x:c>
      <x:c r="S57" s="14" t="str">
        <x:v>9530d6a</x:v>
      </x:c>
      <x:c r="T57" s="14" t="str">
        <x:v>Run node tests/landing-page.mjs.</x:v>
      </x:c>
      <x:c r="U57" s="14" t="str">
        <x:v>PASS — landing-page: PASS</x:v>
      </x:c>
      <x:c r="V57" s="14" t="str">
        <x:v>Verified</x:v>
      </x:c>
      <x:c r="W57" s="14" t="str">
        <x:v>No</x:v>
      </x:c>
      <x:c r="X57" s="14" t="str">
        <x:v>Added after the completed 55-story audit as the next tracker-backed homepage enhancement.</x:v>
      </x:c>
      <x:c r="Y57" s="14" t="str">
        <x:v>at the top add description of the project</x:v>
      </x:c>
    </x:row>
    <x:row r="58">
      <x:c r="A58" s="14" t="str">
        <x:v>WEB-019</x:v>
      </x:c>
      <x:c r="B58" s="14" t="str">
        <x:v>Daily SEC-to-MCP-to-Google-agents explanation</x:v>
      </x:c>
      <x:c r="C58" s="14" t="str">
        <x:v>Landing / Hero</x:v>
      </x:c>
      <x:c r="D58" s="14" t="str">
        <x:v>index.html; tests/landing-page.mjs</x:v>
      </x:c>
      <x:c r="E58" s="14" t="str">
        <x:v>/ first viewport</x:v>
      </x:c>
      <x:c r="F58" s="14" t="str">
        <x:v>First-time visitor / prospective client</x:v>
      </x:c>
      <x:c r="G58" s="14" t="str">
        <x:v>As a first-time visitor, I want to see how DeltaSignal turns daily SEC evidence into an MCP-accessible database and how Google agents use it for Apple, so that I understand the product before opening the demo.</x:v>
      </x:c>
      <x:c r="H58" s="14" t="str">
        <x:v>The first viewport shows four ordered and visible stages: collect public SEC/EDGAR and CompanyFacts/XBRL evidence; normalize, validate, date, hash, and materialize it in a governed evidence database; deliver bounded provenance-rich envelopes through read-only DeltaSignal MCP tools; and route AAPL questions through a Cloud Run coordinator to four bounded Google Cloud specialists without allowing Gemini explanation to replace source evidence.</x:v>
      </x:c>
      <x:c r="I58" s="14" t="str">
        <x:v>The homepage now presents the complete daily SEC → governed evidence database → DeltaSignal MCP → Apple × Google Cloud agents sequence above the Apple reference case on desktop and mobile.</x:v>
      </x:c>
      <x:c r="J58" s="14" t="str">
        <x:v>Verified</x:v>
      </x:c>
      <x:c r="K58" s="14" t="str">
        <x:v>Automated UI</x:v>
      </x:c>
      <x:c r="L58" s="14" t="str">
        <x:v>Load / on desktop and mobile; assert the workflow is visible; assert exactly four stages and all required SEC, database, MCP, Cloud Run, specialist-agent, and evidence-boundary phrases; verify no mobile horizontal overflow.</x:v>
      </x:c>
      <x:c r="M58" s="14" t="str">
        <x:v>PASS — qa_evidence/logs/daily-sec-mcp-google-agents-test.log</x:v>
      </x:c>
      <x:c r="N58" s="14" t="str"/>
      <x:c r="O58" s="14" t="str"/>
      <x:c r="P58" s="14" t="str">
        <x:v>No</x:v>
      </x:c>
      <x:c r="Q58" s="14" t="str">
        <x:v>Added a four-stage visual operating model and supporting automated assertions.</x:v>
      </x:c>
      <x:c r="R58" s="14" t="str">
        <x:v>index.html; tests/landing-page.mjs; CHANGELOG.html</x:v>
      </x:c>
      <x:c r="S58" s="14" t="str">
        <x:v>220ee75</x:v>
      </x:c>
      <x:c r="T58" s="14" t="str">
        <x:v>Run node tests/landing-page.mjs.</x:v>
      </x:c>
      <x:c r="U58" s="14" t="str">
        <x:v>PASS — landing-page: PASS</x:v>
      </x:c>
      <x:c r="V58" s="14" t="str">
        <x:v>Verified</x:v>
      </x:c>
      <x:c r="W58" s="14" t="str">
        <x:v>No</x:v>
      </x:c>
      <x:c r="X58" s="14" t="str">
        <x:v>Claims are bounded to the documented daily backend and Google Cloud AAPL client architecture; no claim that model-generated explanation replaces evidence.</x:v>
      </x:c>
      <x:c r="Y58" s="14" t="str">
        <x:v>add description how deltasignal works every day collecting SEC information , creating db making it available to MCP, then describe how MCP is used in this example with Apple by creating ther agrents in google</x:v>
      </x:c>
    </x:row>
  </x:sheetData>
  <x:dataValidations count="4">
    <x:dataValidation type="list" sqref="J2:J58">
      <x:formula1>"Not Reviewed,Story Drafted,Ready For Test,Failed Test,Fix In Progress,Fixed,Retest Failed,Verified,Blocked,Needs Product Decision"</x:formula1>
    </x:dataValidation>
    <x:dataValidation type="list" sqref="O2:O58">
      <x:formula1>"Critical,High,Medium,Low,None"</x:formula1>
    </x:dataValidation>
    <x:dataValidation type="list" sqref="K2:K58">
      <x:formula1>"Code Review,Manual UI,Automated Test,Smoke Test,Regression Test,Accessibility Review,Responsive Review,Integration Test"</x:formula1>
    </x:dataValidation>
    <x:dataValidation type="list" sqref="V2:V58">
      <x:formula1>"Not Reviewed,Story Drafted,Ready For Test,Failed Test,Fix In Progress,Fixed,Retest Failed,Verified,Blocked,Needs Product Decision"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8" hidden="0" customWidth="1"/>
    <x:col min="4" max="4" width="24" hidden="0" customWidth="1"/>
    <x:col min="5" max="5" width="18" hidden="0" customWidth="1"/>
    <x:col min="6" max="6" width="16" hidden="0" customWidth="1"/>
  </x:cols>
  <x:sheetData>
    <x:row r="1" ht="28" customHeight="1">
      <x:c r="A1" s="18" t="str">
        <x:v>Feature QA Audit Dashboard</x:v>
      </x:c>
      <x:c r="B1" s="18"/>
      <x:c r="C1" s="18"/>
      <x:c r="D1" s="18"/>
      <x:c r="E1" s="18"/>
      <x:c r="F1" s="18"/>
    </x:row>
    <x:row r="2" ht="22" customHeight="1"/>
    <x:row r="3" ht="22" customHeight="1">
      <x:c r="A3" s="20" t="str">
        <x:v>Metric</x:v>
      </x:c>
      <x:c r="B3" s="20" t="str">
        <x:v>Value</x:v>
      </x:c>
      <x:c r="D3" s="20" t="str">
        <x:v>Severity</x:v>
      </x:c>
      <x:c r="E3" s="20" t="str">
        <x:v>Open Count</x:v>
      </x:c>
    </x:row>
    <x:row r="4" ht="22" customHeight="1">
      <x:c r="A4" s="21" t="str">
        <x:v>Tracked Features</x:v>
      </x:c>
      <x:c r="B4" s="21" t="n">
        <x:f>COUNTA('Tracker'!$A$2:$A$58)</x:f>
        <x:v>57</x:v>
      </x:c>
      <x:c r="D4" s="21" t="str">
        <x:v>Critical</x:v>
      </x:c>
      <x:c r="E4" s="21" t="n">
        <x:f>COUNTIFS('Tracker'!$O$2:$O$58,"Critical",'Tracker'!$V$2:$V$58,"&lt;&gt;Verified")</x:f>
        <x:v>0</x:v>
      </x:c>
    </x:row>
    <x:row r="5" ht="22" customHeight="1">
      <x:c r="A5" s="21" t="str">
        <x:v>Current Verified</x:v>
      </x:c>
      <x:c r="B5" s="21" t="n">
        <x:f>COUNTIF('Tracker'!$J$2:$J$58,"Verified")</x:f>
        <x:v>51</x:v>
      </x:c>
      <x:c r="D5" s="21" t="str">
        <x:v>High</x:v>
      </x:c>
      <x:c r="E5" s="21" t="n">
        <x:f>COUNTIFS('Tracker'!$O$2:$O$58,"High",'Tracker'!$V$2:$V$58,"&lt;&gt;Verified")</x:f>
        <x:v>0</x:v>
      </x:c>
    </x:row>
    <x:row r="6" ht="22" customHeight="1">
      <x:c r="A6" s="21" t="str">
        <x:v>Failed Test</x:v>
      </x:c>
      <x:c r="B6" s="21" t="n">
        <x:f>COUNTIF('Tracker'!$J$2:$J$58,"Failed Test")</x:f>
        <x:v>0</x:v>
      </x:c>
      <x:c r="D6" s="21" t="str">
        <x:v>Medium</x:v>
      </x:c>
      <x:c r="E6" s="21" t="n">
        <x:f>COUNTIFS('Tracker'!$O$2:$O$58,"Medium",'Tracker'!$V$2:$V$58,"&lt;&gt;Verified")</x:f>
        <x:v>0</x:v>
      </x:c>
    </x:row>
    <x:row r="7" ht="22" customHeight="1">
      <x:c r="A7" s="21" t="str">
        <x:v>Fix In Progress</x:v>
      </x:c>
      <x:c r="B7" s="21" t="n">
        <x:f>COUNTIF('Tracker'!$J$2:$J$58,"Fix In Progress")</x:f>
        <x:v>0</x:v>
      </x:c>
      <x:c r="D7" s="21" t="str">
        <x:v>Low</x:v>
      </x:c>
      <x:c r="E7" s="21" t="n">
        <x:f>COUNTIFS('Tracker'!$O$2:$O$58,"Low",'Tracker'!$V$2:$V$58,"&lt;&gt;Verified")</x:f>
        <x:v>0</x:v>
      </x:c>
    </x:row>
    <x:row r="8" ht="22" customHeight="1">
      <x:c r="A8" s="21" t="str">
        <x:v>Fixed</x:v>
      </x:c>
      <x:c r="B8" s="21" t="n">
        <x:f>COUNTIF('Tracker'!$J$2:$J$58,"Fixed")</x:f>
        <x:v>6</x:v>
      </x:c>
      <x:c r="D8" s="21" t="str">
        <x:v>Needs Product Decision</x:v>
      </x:c>
      <x:c r="E8" s="21" t="n">
        <x:f>COUNTIF('Tracker'!$W$2:$W$58,"Yes")</x:f>
        <x:v>0</x:v>
      </x:c>
    </x:row>
    <x:row r="9" ht="22" customHeight="1">
      <x:c r="A9" s="21" t="str">
        <x:v>Final Verified</x:v>
      </x:c>
      <x:c r="B9" s="21" t="n">
        <x:f>COUNTIF('Tracker'!$V$2:$V$58,"Verified")</x:f>
        <x:v>57</x:v>
      </x:c>
      <x:c r="D9" s="21" t="str">
        <x:v>Rows With Commit Hash</x:v>
      </x:c>
      <x:c r="E9" s="21" t="n">
        <x:v>8</x:v>
      </x:c>
    </x:row>
    <x:row r="10" ht="22" customHeight="1">
      <x:c r="A10" s="21" t="str">
        <x:v>Blocked</x:v>
      </x:c>
      <x:c r="B10" s="21" t="n">
        <x:f>COUNTIF('Tracker'!$V$2:$V$58,"Blocked")</x:f>
        <x:v>0</x:v>
      </x:c>
    </x:row>
    <x:row r="11" ht="22" customHeight="1"/>
    <x:row r="12" ht="40" customHeight="1">
      <x:c r="A12" s="26" t="str">
        <x:v>Use Tracker as the working sheet. Dashboard values are calculated during generation and exported as a portable snapshot.</x:v>
      </x:c>
      <x:c r="B12" s="26"/>
      <x:c r="C12" s="26"/>
      <x:c r="D12" s="26"/>
      <x:c r="E12" s="26"/>
      <x:c r="F12" s="26"/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8" t="str">
        <x:v>Allowed Status</x:v>
      </x:c>
      <x:c r="B1" s="28" t="str">
        <x:v>Allowed Severity</x:v>
      </x:c>
      <x:c r="C1" s="28" t="str">
        <x:v>Suggested Test Type</x:v>
      </x:c>
    </x:row>
    <x:row r="2">
      <x:c r="A2" s="29" t="str">
        <x:v>Not Reviewed</x:v>
      </x:c>
      <x:c r="B2" s="29" t="str">
        <x:v>Critical</x:v>
      </x:c>
      <x:c r="C2" s="29" t="str">
        <x:v>Code Review</x:v>
      </x:c>
    </x:row>
    <x:row r="3">
      <x:c r="A3" s="29" t="str">
        <x:v>Story Drafted</x:v>
      </x:c>
      <x:c r="B3" s="29" t="str">
        <x:v>High</x:v>
      </x:c>
      <x:c r="C3" s="29" t="str">
        <x:v>Manual UI</x:v>
      </x:c>
    </x:row>
    <x:row r="4">
      <x:c r="A4" s="29" t="str">
        <x:v>Ready For Test</x:v>
      </x:c>
      <x:c r="B4" s="29" t="str">
        <x:v>Medium</x:v>
      </x:c>
      <x:c r="C4" s="29" t="str">
        <x:v>Automated Test</x:v>
      </x:c>
    </x:row>
    <x:row r="5">
      <x:c r="A5" s="29" t="str">
        <x:v>Failed Test</x:v>
      </x:c>
      <x:c r="B5" s="29" t="str">
        <x:v>Low</x:v>
      </x:c>
      <x:c r="C5" s="29" t="str">
        <x:v>Smoke Test</x:v>
      </x:c>
    </x:row>
    <x:row r="6">
      <x:c r="A6" s="29" t="str">
        <x:v>Fix In Progress</x:v>
      </x:c>
      <x:c r="B6" s="29" t="str">
        <x:v>None</x:v>
      </x:c>
      <x:c r="C6" s="29" t="str">
        <x:v>Regression Test</x:v>
      </x:c>
    </x:row>
    <x:row r="7">
      <x:c r="A7" s="29" t="str">
        <x:v>Fixed</x:v>
      </x:c>
      <x:c r="B7" s="29"/>
      <x:c r="C7" s="29" t="str">
        <x:v>Accessibility Review</x:v>
      </x:c>
    </x:row>
    <x:row r="8">
      <x:c r="A8" s="29" t="str">
        <x:v>Retest Failed</x:v>
      </x:c>
      <x:c r="B8" s="29"/>
      <x:c r="C8" s="29" t="str">
        <x:v>Responsive Review</x:v>
      </x:c>
    </x:row>
    <x:row r="9">
      <x:c r="A9" s="29" t="str">
        <x:v>Verified</x:v>
      </x:c>
      <x:c r="B9" s="29"/>
      <x:c r="C9" s="29" t="str">
        <x:v>Integration Test</x:v>
      </x:c>
    </x:row>
    <x:row r="10">
      <x:c r="A10" s="29" t="str">
        <x:v>Blocked</x:v>
      </x:c>
      <x:c r="B10" s="29"/>
      <x:c r="C10" s="29"/>
    </x:row>
    <x:row r="11">
      <x:c r="A11" s="29" t="str">
        <x:v>Needs Product Decision</x:v>
      </x:c>
      <x:c r="B11" s="29"/>
      <x:c r="C11" s="29"/>
    </x:row>
    <x:row r="12">
      <x:c r="A12" s="29"/>
      <x:c r="B12" s="29"/>
      <x:c r="C12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1" ht="22" customHeight="1">
      <x:c r="A1" s="18" t="str">
        <x:v>Feature QA Workbook Guide</x:v>
      </x:c>
      <x:c r="B1" s="18"/>
      <x:c r="C1" s="18"/>
      <x:c r="D1" s="18"/>
      <x:c r="E1" s="18"/>
      <x:c r="F1" s="18"/>
    </x:row>
    <x:row r="2" ht="22" customHeight="1"/>
    <x:row r="3" ht="22" customHeight="1">
      <x:c r="A3" s="32" t="str">
        <x:v>Step</x:v>
      </x:c>
      <x:c r="B3" s="32" t="str">
        <x:v>Instruction</x:v>
      </x:c>
    </x:row>
    <x:row r="4" ht="52" customHeight="1">
      <x:c r="A4" s="38" t="str">
        <x:v>1</x:v>
      </x:c>
      <x:c r="B4" s="36" t="str">
        <x:v>Keep Tracker as the single source of truth and do not create competing trackers.</x:v>
      </x:c>
    </x:row>
    <x:row r="5" ht="52" customHeight="1">
      <x:c r="A5" s="38" t="str">
        <x:v>2</x:v>
      </x:c>
      <x:c r="B5" s="36" t="str">
        <x:v>Create one row per user-visible feature or critical behavior. User stories describe how a user uses the feature, not how the implementation works.</x:v>
      </x:c>
    </x:row>
    <x:row r="6" ht="52" customHeight="1">
      <x:c r="A6" s="38" t="str">
        <x:v>3</x:v>
      </x:c>
      <x:c r="B6" s="36" t="str">
        <x:v>Use Status during discovery and testing, then use Final Status after retest.</x:v>
      </x:c>
    </x:row>
    <x:row r="7" ht="52" customHeight="1">
      <x:c r="A7" s="38" t="str">
        <x:v>4</x:v>
      </x:c>
      <x:c r="B7" s="36" t="str">
        <x:v>Record commit hashes in column S for any row touched by a fix or follow-up pass.</x:v>
      </x:c>
    </x:row>
    <x:row r="8" ht="52" customHeight="1">
      <x:c r="A8" s="38" t="str">
        <x:v>5</x:v>
      </x:c>
      <x:c r="B8" s="36" t="str">
        <x:v>Use Lists sheet values for Status, Severity, Test Type, and Final Status to keep reporting clean.</x:v>
      </x:c>
    </x:row>
    <x:row r="9" ht="52" customHeight="1">
      <x:c r="A9" s="38" t="str">
        <x:v>6</x:v>
      </x:c>
      <x:c r="B9" s="36" t="str">
        <x:v>Append a dated note to CHANGELOG.md after each completed QA or improvement pass.</x:v>
      </x:c>
    </x:row>
    <x:row r="10" ht="52" customHeight="1">
      <x:c r="A10" s="38" t="str">
        <x:v>7</x:v>
      </x:c>
      <x:c r="B10" s="36" t="str">
        <x:v>Keep the CSV, XLSX, and HTML companion aligned after every tracker update.</x:v>
      </x:c>
    </x:row>
    <x:row r="11" ht="52" customHeight="1">
      <x:c r="A11" s="38" t="str">
        <x:v>8</x:v>
      </x:c>
      <x:c r="B11" s="36" t="str">
        <x:v>Open the Dashboard tab for a quick pass/fail snapshot before closing the loop.</x:v>
      </x:c>
    </x:row>
    <x:row r="12" ht="22" customHeight="1"/>
  </x:sheetData>
  <x:mergeCells>
    <x:mergeCell ref="A1:F1"/>
  </x:mergeCells>
  <x:pageMargins left="0.7" right="0.7" top="0.75" bottom="0.75" header="0.3" footer="0.3"/>
</x:worksheet>
</file>