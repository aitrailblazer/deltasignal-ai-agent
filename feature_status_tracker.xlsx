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ca48571bc4e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14a908993e1c44ef"/>
    <x:sheet xmlns:r="http://schemas.openxmlformats.org/officeDocument/2006/relationships" name="Dashboard" sheetId="2" r:id="R4fcfa27517ea4284"/>
    <x:sheet xmlns:r="http://schemas.openxmlformats.org/officeDocument/2006/relationships" name="Lists" sheetId="3" r:id="R9fa9c60e680941bb"/>
    <x:sheet xmlns:r="http://schemas.openxmlformats.org/officeDocument/2006/relationships" name="Instructions" sheetId="4" r:id="R7abd86a699d54a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7b1208c9614f72" /><Relationship Type="http://schemas.openxmlformats.org/officeDocument/2006/relationships/theme" Target="/xl/theme/theme1.xml" Id="R3e02711a945842ef" /><Relationship Type="http://schemas.openxmlformats.org/officeDocument/2006/relationships/sharedStrings" Target="/xl/sharedStrings.xml" Id="R3ffaa1e27b2c4d6d" /><Relationship Type="http://schemas.openxmlformats.org/officeDocument/2006/relationships/worksheet" Target="/xl/worksheets/sheet1.xml" Id="R14a908993e1c44ef" /><Relationship Type="http://schemas.openxmlformats.org/officeDocument/2006/relationships/worksheet" Target="/xl/worksheets/sheet2.xml" Id="R4fcfa27517ea4284" /><Relationship Type="http://schemas.openxmlformats.org/officeDocument/2006/relationships/worksheet" Target="/xl/worksheets/sheet3.xml" Id="R9fa9c60e680941bb" /><Relationship Type="http://schemas.openxmlformats.org/officeDocument/2006/relationships/worksheet" Target="/xl/worksheets/sheet4.xml" Id="R7abd86a699d54a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  <x:row r="57">
      <x:c r="A57" s="14" t="str">
        <x:v>WEB-018</x:v>
      </x:c>
      <x:c r="B57" s="14" t="str">
        <x:v>Top-level project description</x:v>
      </x:c>
      <x:c r="C57" s="14" t="str">
        <x:v>Landing / Hero</x:v>
      </x:c>
      <x:c r="D57" s="14" t="str">
        <x:v>index.html; tests/landing-page.mjs</x:v>
      </x:c>
      <x:c r="E57" s="14" t="str">
        <x:v>/ first viewport</x:v>
      </x:c>
      <x:c r="F57" s="14" t="str">
        <x:v>First-time visitor</x:v>
      </x:c>
      <x:c r="G57" s="14" t="str">
        <x:v>As a first-time visitor, I want a plain-language project description at the top so that I immediately understand what DeltaSignal is, what evidence it uses, and who it serves.</x:v>
      </x:c>
      <x:c r="H57" s="14" t="str">
        <x:v>A visible description above the Apple reference identifies DeltaSignal as a governed financial-evidence operating system that turns dated filings and market data into provenance-rich research packets for AI agents and human analysts.</x:v>
      </x:c>
      <x:c r="I57" s="14" t="str">
        <x:v>The project description is visible above the Apple case, uses concise plain language, and remains readable on desktop and mobile.</x:v>
      </x:c>
      <x:c r="J57" s="14" t="str">
        <x:v>Verified</x:v>
      </x:c>
      <x:c r="K57" s="14" t="str">
        <x:v>Automated UI</x:v>
      </x:c>
      <x:c r="L57" s="14" t="str">
        <x:v>Load /; inspect the first viewport; assert the four defining phrases; verify visibility; rerun desktop and mobile landing tests.</x:v>
      </x:c>
      <x:c r="M57" s="14" t="str">
        <x:v>PASS — qa_evidence/logs/project-description-test.log</x:v>
      </x:c>
      <x:c r="N57" s="14" t="str"/>
      <x:c r="O57" s="14" t="str"/>
      <x:c r="P57" s="14" t="str">
        <x:v>No</x:v>
      </x:c>
      <x:c r="Q57" s="14" t="str"/>
      <x:c r="R57" s="14" t="str">
        <x:v>index.html; tests/landing-page.mjs; CHANGELOG.html</x:v>
      </x:c>
      <x:c r="S57" s="14" t="str">
        <x:v>9530d6a</x:v>
      </x:c>
      <x:c r="T57" s="14" t="str">
        <x:v>Run node tests/landing-page.mjs.</x:v>
      </x:c>
      <x:c r="U57" s="14" t="str">
        <x:v>PASS — landing-page: PASS</x:v>
      </x:c>
      <x:c r="V57" s="14" t="str">
        <x:v>Verified</x:v>
      </x:c>
      <x:c r="W57" s="14" t="str">
        <x:v>No</x:v>
      </x:c>
      <x:c r="X57" s="14" t="str">
        <x:v>Added after the completed 55-story audit as the next tracker-backed homepage enhancement.</x:v>
      </x:c>
      <x:c r="Y57" s="14" t="str">
        <x:v>at the top add description of the project</x:v>
      </x:c>
    </x:row>
  </x:sheetData>
  <x:dataValidations count="4">
    <x:dataValidation type="list" sqref="J2:J57">
      <x:formula1>"Not Reviewed,Story Drafted,Ready For Test,Failed Test,Fix In Progress,Fixed,Retest Failed,Verified,Blocked,Needs Product Decision"</x:formula1>
    </x:dataValidation>
    <x:dataValidation type="list" sqref="O2:O57">
      <x:formula1>"Critical,High,Medium,Low,None"</x:formula1>
    </x:dataValidation>
    <x:dataValidation type="list" sqref="K2:K57">
      <x:formula1>"Code Review,Manual UI,Automated Test,Smoke Test,Regression Test,Accessibility Review,Responsive Review,Integration Test"</x:formula1>
    </x:dataValidation>
    <x:dataValidation type="list" sqref="V2:V5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COUNTA('Tracker'!$A$2:$A$57)</x:f>
        <x:v>56</x:v>
      </x:c>
      <x:c r="D4" s="21" t="str">
        <x:v>Critical</x:v>
      </x:c>
      <x:c r="E4" s="21" t="n">
        <x:f>COUNTIFS('Tracker'!$O$2:$O$57,"Critical",'Tracker'!$V$2:$V$57,"&lt;&gt;Verified")</x:f>
        <x:v>0</x:v>
      </x:c>
    </x:row>
    <x:row r="5" ht="22" customHeight="1">
      <x:c r="A5" s="21" t="str">
        <x:v>Current Verified</x:v>
      </x:c>
      <x:c r="B5" s="21" t="n">
        <x:f>COUNTIF('Tracker'!$J$2:$J$57,"Verified")</x:f>
        <x:v>50</x:v>
      </x:c>
      <x:c r="D5" s="21" t="str">
        <x:v>High</x:v>
      </x:c>
      <x:c r="E5" s="21" t="n">
        <x:f>COUNTIFS('Tracker'!$O$2:$O$57,"High",'Tracker'!$V$2:$V$57,"&lt;&gt;Verified")</x:f>
        <x:v>0</x:v>
      </x:c>
    </x:row>
    <x:row r="6" ht="22" customHeight="1">
      <x:c r="A6" s="21" t="str">
        <x:v>Failed Test</x:v>
      </x:c>
      <x:c r="B6" s="21" t="n">
        <x:f>COUNTIF('Tracker'!$J$2:$J$57,"Failed Test")</x:f>
        <x:v>0</x:v>
      </x:c>
      <x:c r="D6" s="21" t="str">
        <x:v>Medium</x:v>
      </x:c>
      <x:c r="E6" s="21" t="n">
        <x:f>COUNTIFS('Tracker'!$O$2:$O$57,"Medium",'Tracker'!$V$2:$V$57,"&lt;&gt;Verified")</x:f>
        <x:v>0</x:v>
      </x:c>
    </x:row>
    <x:row r="7" ht="22" customHeight="1">
      <x:c r="A7" s="21" t="str">
        <x:v>Fix In Progress</x:v>
      </x:c>
      <x:c r="B7" s="21" t="n">
        <x:f>COUNTIF('Tracker'!$J$2:$J$57,"Fix In Progress")</x:f>
        <x:v>0</x:v>
      </x:c>
      <x:c r="D7" s="21" t="str">
        <x:v>Low</x:v>
      </x:c>
      <x:c r="E7" s="21" t="n">
        <x:f>COUNTIFS('Tracker'!$O$2:$O$57,"Low",'Tracker'!$V$2:$V$57,"&lt;&gt;Verified")</x:f>
        <x:v>0</x:v>
      </x:c>
    </x:row>
    <x:row r="8" ht="22" customHeight="1">
      <x:c r="A8" s="21" t="str">
        <x:v>Fixed</x:v>
      </x:c>
      <x:c r="B8" s="21" t="n">
        <x:f>COUNTIF('Tracker'!$J$2:$J$57,"Fixed")</x:f>
        <x:v>6</x:v>
      </x:c>
      <x:c r="D8" s="21" t="str">
        <x:v>Needs Product Decision</x:v>
      </x:c>
      <x:c r="E8" s="21" t="n">
        <x:f>COUNTIF('Tracker'!$W$2:$W$57,"Yes")</x:f>
        <x:v>0</x:v>
      </x:c>
    </x:row>
    <x:row r="9" ht="22" customHeight="1">
      <x:c r="A9" s="21" t="str">
        <x:v>Final Verified</x:v>
      </x:c>
      <x:c r="B9" s="21" t="n">
        <x:f>COUNTIF('Tracker'!$V$2:$V$57,"Verified")</x:f>
        <x:v>56</x:v>
      </x:c>
      <x:c r="D9" s="21" t="str">
        <x:v>Rows With Commit Hash</x:v>
      </x:c>
      <x:c r="E9" s="21" t="n">
        <x:v>7</x:v>
      </x:c>
    </x:row>
    <x:row r="10" ht="22" customHeight="1">
      <x:c r="A10" s="21" t="str">
        <x:v>Blocked</x:v>
      </x:c>
      <x:c r="B10" s="21" t="n">
        <x:f>COUNTIF('Tracker'!$V$2:$V$57,"Blocked")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